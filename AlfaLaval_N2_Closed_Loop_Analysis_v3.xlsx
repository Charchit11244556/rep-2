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Hour-by-Hour Balance" sheetId="2" state="visible" r:id="rId4"/>
    <sheet name="Steady-State Summary" sheetId="3" state="visible" r:id="rId5"/>
    <sheet name="Worked Example (0C)" sheetId="4" state="visible" r:id="rId6"/>
    <sheet name="Reverse Engineering" sheetId="5" state="visible" r:id="rId7"/>
    <sheet name="Discussion"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<sst xmlns="http://schemas.openxmlformats.org/spreadsheetml/2006/main" count="206" uniqueCount="146">
  <si>
    <t xml:space="preserve">Closed-Loop Nitrogen Spray Drying — Hour-by-Hour Condensation Analysis</t>
  </si>
  <si>
    <t xml:space="preserve">No saturation assumption: humidity, vapour pressure, and dew point are recalculated every hour from the actual recirculating vapour load</t>
  </si>
  <si>
    <t xml:space="preserve">SYSTEM INPUTS (Given Data)</t>
  </si>
  <si>
    <t xml:space="preserve">Parameter</t>
  </si>
  <si>
    <t xml:space="preserve">Value</t>
  </si>
  <si>
    <t xml:space="preserve">Unit</t>
  </si>
  <si>
    <t xml:space="preserve">Notes</t>
  </si>
  <si>
    <t xml:space="preserve">Nitrogen circulation rate</t>
  </si>
  <si>
    <t xml:space="preserve">kg/hr</t>
  </si>
  <si>
    <t xml:space="preserve">Dry N2 basis (carrier gas mass flow), constant in closed loop</t>
  </si>
  <si>
    <t xml:space="preserve">Fresh water evaporation rate</t>
  </si>
  <si>
    <t xml:space="preserve">New water vapour added to the loop each hour, from the dryer</t>
  </si>
  <si>
    <t xml:space="preserve">Total system pressure</t>
  </si>
  <si>
    <t xml:space="preserve">atm</t>
  </si>
  <si>
    <t xml:space="preserve">Held constant; 1 atm = 760 mmHg</t>
  </si>
  <si>
    <t xml:space="preserve">MW of water</t>
  </si>
  <si>
    <t xml:space="preserve">g/mol</t>
  </si>
  <si>
    <t xml:space="preserve">Used in mole-to-mass conversion for humidity ratio</t>
  </si>
  <si>
    <t xml:space="preserve">MW of nitrogen</t>
  </si>
  <si>
    <t xml:space="preserve">Chiller per-pass condensation efficiency (eta)</t>
  </si>
  <si>
    <t xml:space="preserve">fraction</t>
  </si>
  <si>
    <t xml:space="preserve">Fraction of the excess-above-saturation vapour removed each hour by a real, non-ideal chiller</t>
  </si>
  <si>
    <t xml:space="preserve">Simulation horizon</t>
  </si>
  <si>
    <t xml:space="preserve">hours</t>
  </si>
  <si>
    <t xml:space="preserve">Hours simulated per outlet temperature; system reaches steady state by ~hour 9</t>
  </si>
  <si>
    <t xml:space="preserve">WHY NO SATURATION ASSUMPTION IS MADE</t>
  </si>
  <si>
    <t xml:space="preserve">The gas circulating in the loop is never assumed to be saturated at the chiller outlet temperature. Instead, every hour: (1) the actual water vapour mass entering the chiller is known exactly (previous hour's carryover + 50 kg/hr fresh evaporation); (2) this gives an ACTUAL humidity ratio and, via Dalton's Law, an ACTUAL water partial pressure; (3) inverting the Antoine equation on that actual partial pressure gives the REAL dew point of the gas entering the chiller THAT HOUR — this value changes hour to hour as vapour recirculates and builds up. Separately, the chiller's saturation CAPACITY at its fixed outlet temperature is calculated once (this is a property of the outlet temperature only, via Raoult's Law at the condensing surface: the condensate is pure water, x=1, so the equilibrium vapour pressure ceiling is exactly Psat(T)). The chiller removes a fraction (eta) of whatever vapour sits above that capacity each hour; the rest recirculates and adds to next hour's incoming load.</t>
  </si>
  <si>
    <t xml:space="preserve">GOVERNING EQUATIONS (applied fresh, every hour)</t>
  </si>
  <si>
    <t xml:space="preserve">1. Vapour entering chiller this hour:  W(in) = Carryover(previous hour) + 50 kg/hr</t>
  </si>
  <si>
    <t xml:space="preserve">2. Actual humidity ratio:  Y = W(in) / N2 flow   [kg H2O / kg N2]</t>
  </si>
  <si>
    <t xml:space="preserve">3. Mole ratio:  k = Y x (MW_N2 / MW_H2O)</t>
  </si>
  <si>
    <t xml:space="preserve">4. Dalton's Law (rearranged):  p(H2O), actual = k x P_total / (1+k)</t>
  </si>
  <si>
    <t xml:space="preserve">5. Antoine equation inverted -&gt; actual dew point this hour:  T(dew) = 1730.63/(8.07131-log10[p(H2O)]) - 233.426</t>
  </si>
  <si>
    <t xml:space="preserve">6. Raoult's Law at the condensing surface (pure water condensate, x=1):  p(H2O), equilibrium = Psat(T_outlet) -- this sets the saturation CAPACITY ceiling at the fixed chiller outlet T</t>
  </si>
  <si>
    <t xml:space="preserve">7. Saturation capacity at outlet T:  Y_sat(T) = (Psat(T)/p(N2)(T)) x (MW_H2O/MW_N2);  Cap = Y_sat(T) x N2 flow</t>
  </si>
  <si>
    <t xml:space="preserve">8. Excess above capacity:  Excess = max[W(in) - Cap, 0]</t>
  </si>
  <si>
    <t xml:space="preserve">9. Water condensed this hour:  W(cond) = eta x Excess</t>
  </si>
  <si>
    <t xml:space="preserve">10. Carryover to next hour:  Carryover = W(in) - W(cond)</t>
  </si>
  <si>
    <t xml:space="preserve">Hour-by-Hour Mass Balance — Humidity, Dew Point, and Condensation Recalculated Every Hour</t>
  </si>
  <si>
    <t xml:space="preserve">No saturation assumption. Each row uses the previous row's carryover as part of this hour's incoming vapour load.</t>
  </si>
  <si>
    <t xml:space="preserve">eta (chiller efficiency, per-pass)</t>
  </si>
  <si>
    <t xml:space="preserve">OUTLET TEMPERATURE = 10 C</t>
  </si>
  <si>
    <t xml:space="preserve">Psat(T), mmHg =</t>
  </si>
  <si>
    <t xml:space="preserve">Cap(T), kg/hr =</t>
  </si>
  <si>
    <t xml:space="preserve">Hour</t>
  </si>
  <si>
    <t xml:space="preserve">Vapour
Entering, W(in)
(kg)</t>
  </si>
  <si>
    <t xml:space="preserve">Humidity
Ratio, Y
(kg/kg)</t>
  </si>
  <si>
    <t xml:space="preserve">p(H2O),
actual
(mmHg)</t>
  </si>
  <si>
    <t xml:space="preserve">Dew Point
This Hour
(C)</t>
  </si>
  <si>
    <t xml:space="preserve">Excess Above
Capacity
(kg)</t>
  </si>
  <si>
    <t xml:space="preserve">Condensed
This Hour
(kg/hr)</t>
  </si>
  <si>
    <t xml:space="preserve">Carryover
After
(kg)</t>
  </si>
  <si>
    <t xml:space="preserve">% of Evap.
Condensed</t>
  </si>
  <si>
    <t xml:space="preserve">OUTLET TEMPERATURE = 5 C</t>
  </si>
  <si>
    <t xml:space="preserve">OUTLET TEMPERATURE = 0 C</t>
  </si>
  <si>
    <t xml:space="preserve">OUTLET TEMPERATURE = -5 C</t>
  </si>
  <si>
    <t xml:space="preserve">OUTLET TEMPERATURE = -10 C</t>
  </si>
  <si>
    <t xml:space="preserve">Steady-State Summary — All Outlet Temperatures</t>
  </si>
  <si>
    <t xml:space="preserve">Values taken at hour 12 of the 'Hour-by-Hour Balance' sheet, by which point all cases have converged</t>
  </si>
  <si>
    <t xml:space="preserve">Outlet T
(C)</t>
  </si>
  <si>
    <t xml:space="preserve">Sat. Capacity
at Outlet T (kg/hr)</t>
  </si>
  <si>
    <t xml:space="preserve">Steady-State
Dew Point (C)</t>
  </si>
  <si>
    <t xml:space="preserve">Steady-State
Carryover (kg)</t>
  </si>
  <si>
    <t xml:space="preserve">Steady-State
Condensed (kg/hr)</t>
  </si>
  <si>
    <t xml:space="preserve">At steady state, condensed water (kg/hr) equals fresh evaporation (kg/hr) = 50 kg/hr for every outlet temperature, by mass conservation. The dew point of the gas ENTERING the chiller settles at a value well above the outlet temperature in every case (27-31 C vs 10 to -10 C), confirming condensation is sustained at full strength once the loop has built up its steady-state vapour inventory. Colder outlet temperatures reach a LOWER steady-state carryover (less vapour needs to recirculate to force full condensation) and also a slightly lower steady-state dew point.</t>
  </si>
  <si>
    <t xml:space="preserve">Worked Example — Outlet Temperature = 0 C, Hour 1 and Hour 2 in Full Detail</t>
  </si>
  <si>
    <t xml:space="preserve">Demonstrates Raoult's Law, Dalton's Law, and the hour-by-hour recirculation method with no saturation shortcut</t>
  </si>
  <si>
    <t xml:space="preserve">HOUR 1</t>
  </si>
  <si>
    <t xml:space="preserve">Step</t>
  </si>
  <si>
    <t xml:space="preserve">Result</t>
  </si>
  <si>
    <t xml:space="preserve">Working</t>
  </si>
  <si>
    <t xml:space="preserve">1. Vapour entering chiller, W(in)</t>
  </si>
  <si>
    <t xml:space="preserve">50.000 kg</t>
  </si>
  <si>
    <t xml:space="preserve">No carryover yet (first hour): W(in) = 0 + 50 = 50 kg</t>
  </si>
  <si>
    <t xml:space="preserve">2. Humidity ratio, Y</t>
  </si>
  <si>
    <t xml:space="preserve">0.016667 kg/kg</t>
  </si>
  <si>
    <t xml:space="preserve">Y = W(in) / N2 flow = 50 / 3000</t>
  </si>
  <si>
    <t xml:space="preserve">3. Mole ratio, k</t>
  </si>
  <si>
    <t xml:space="preserve">0.025917</t>
  </si>
  <si>
    <t xml:space="preserve">k = Y x (MW_N2/MW_H2O) = 0.016667 x (28.014/18.015)</t>
  </si>
  <si>
    <t xml:space="preserve">4. Actual p(H2O)  [Dalton's Law]</t>
  </si>
  <si>
    <t xml:space="preserve">19.200 mmHg</t>
  </si>
  <si>
    <t xml:space="preserve">p(H2O) = k x 760 / (1+k)</t>
  </si>
  <si>
    <t xml:space="preserve">5. Dew point this hour</t>
  </si>
  <si>
    <t xml:space="preserve">21.528 C</t>
  </si>
  <si>
    <t xml:space="preserve">Invert Antoine: T = 1730.63/(8.07131-log10(19.200)) - 233.426</t>
  </si>
  <si>
    <t xml:space="preserve">6. Psat at outlet T=0C  [Raoult's Law ceiling]</t>
  </si>
  <si>
    <t xml:space="preserve">4.542 mmHg</t>
  </si>
  <si>
    <t xml:space="preserve">Pure water condensate, x=1 -&gt; p(H2O),equilibrium = Psat(0C); Antoine: 10^(8.07131-1730.63/233.426)</t>
  </si>
  <si>
    <t xml:space="preserve">7. p(N2) at outlet T</t>
  </si>
  <si>
    <t xml:space="preserve">755.458 mmHg</t>
  </si>
  <si>
    <t xml:space="preserve">p(N2) = 760 - 4.542</t>
  </si>
  <si>
    <t xml:space="preserve">8. Saturation capacity, Cap</t>
  </si>
  <si>
    <t xml:space="preserve">11.599 kg</t>
  </si>
  <si>
    <t xml:space="preserve">Y_sat = (4.542/755.458)x(18.015/28.014) = 0.003866; Cap = 0.003866 x 3000</t>
  </si>
  <si>
    <t xml:space="preserve">9. Excess above capacity</t>
  </si>
  <si>
    <t xml:space="preserve">38.401 kg</t>
  </si>
  <si>
    <t xml:space="preserve">Excess = W(in) - Cap = 50 - 11.599</t>
  </si>
  <si>
    <t xml:space="preserve">10. Condensed this hour (eta=0.75)</t>
  </si>
  <si>
    <t xml:space="preserve">28.801 kg/hr</t>
  </si>
  <si>
    <t xml:space="preserve">Condensed = 0.75 x 38.401</t>
  </si>
  <si>
    <t xml:space="preserve">11. Carryover to Hour 2</t>
  </si>
  <si>
    <t xml:space="preserve">21.199 kg</t>
  </si>
  <si>
    <t xml:space="preserve">Carryover = W(in) - Condensed = 50 - 28.801</t>
  </si>
  <si>
    <t xml:space="preserve">HOUR 2</t>
  </si>
  <si>
    <t xml:space="preserve">71.199 kg</t>
  </si>
  <si>
    <t xml:space="preserve">Carryover from Hour 1 + fresh evap = 21.199 + 50</t>
  </si>
  <si>
    <t xml:space="preserve">0.023733 kg/kg</t>
  </si>
  <si>
    <t xml:space="preserve">Y = 71.199 / 3000</t>
  </si>
  <si>
    <t xml:space="preserve">0.036911</t>
  </si>
  <si>
    <t xml:space="preserve">k = 0.023733 x (28.014/18.015)</t>
  </si>
  <si>
    <t xml:space="preserve">27.050 mmHg</t>
  </si>
  <si>
    <t xml:space="preserve">p(H2O) = 0.036911 x 760 / 1.036911</t>
  </si>
  <si>
    <t xml:space="preserve">27.245 C</t>
  </si>
  <si>
    <t xml:space="preserve">T = 1730.63/(8.07131-log10(27.050)) - 233.426  -- HIGHER than Hour 1's 21.528 C</t>
  </si>
  <si>
    <t xml:space="preserve">6. Saturation capacity, Cap (unchanged)</t>
  </si>
  <si>
    <t xml:space="preserve">Cap depends only on outlet T = 0C, not on the hour</t>
  </si>
  <si>
    <t xml:space="preserve">7. Excess above capacity</t>
  </si>
  <si>
    <t xml:space="preserve">59.600 kg</t>
  </si>
  <si>
    <t xml:space="preserve">Excess = 71.199 - 11.599</t>
  </si>
  <si>
    <t xml:space="preserve">8. Condensed this hour (eta=0.75)</t>
  </si>
  <si>
    <t xml:space="preserve">44.700 kg/hr</t>
  </si>
  <si>
    <t xml:space="preserve">Condensed = 0.75 x 59.600</t>
  </si>
  <si>
    <t xml:space="preserve">9. Carryover to Hour 3</t>
  </si>
  <si>
    <t xml:space="preserve">26.499 kg</t>
  </si>
  <si>
    <t xml:space="preserve">Carryover = 71.199 - 44.700</t>
  </si>
  <si>
    <t xml:space="preserve">KEY OBSERVATION: the dew point ROSE from 21.53 C (Hour 1) to 27.25 C (Hour 2) because more water vapour is now circulating in the loop -- the incoming gas is more humid, so it has a higher dew point. The saturation CAPACITY at the 0C outlet stayed fixed at 11.599 kg because that depends only on the fixed outlet temperature (via Raoult's Law / Antoine equation), never on how much vapour is arriving. This is why the two must be tracked separately and recalculated every hour rather than assumed equal.</t>
  </si>
  <si>
    <t xml:space="preserve">Reverse Engineering — Required Outlet Temperature for Target Steady-State Condensation %</t>
  </si>
  <si>
    <t xml:space="preserve">Based on saturation capacity at outlet T (Raoult's Law ceiling) needed to force the target % once the loop reaches steady state</t>
  </si>
  <si>
    <t xml:space="preserve">Target Steady-State
Condensation %</t>
  </si>
  <si>
    <t xml:space="preserve">Required Outlet
Temperature (C)</t>
  </si>
  <si>
    <t xml:space="preserve">Saturation Capacity
Required (kg/hr)</t>
  </si>
  <si>
    <t xml:space="preserve">Note</t>
  </si>
  <si>
    <t xml:space="preserve">Liquid water regime</t>
  </si>
  <si>
    <t xml:space="preserve">Ice regime</t>
  </si>
  <si>
    <t xml:space="preserve">At steady state, condensed always equals 50 kg/hr (mass conservation), so 'target condensation %' here refers to how close the SINGLE-PASS removal is to the steady demand -- equivalently, the saturation capacity Cap(T) = Evap_rate x (1-target%). Since Cap(T) is set purely by the outlet temperature through the Raoult's Law ceiling (Psat(T)), the required T is found by inverting that relationship numerically.</t>
  </si>
  <si>
    <t xml:space="preserve">Engineering Discussion</t>
  </si>
  <si>
    <t xml:space="preserve">Dew point behaviour, ice formation risk, and scale-up recommendation</t>
  </si>
  <si>
    <t xml:space="preserve">WHY THE DEW POINT RISES OVER TIME, NOT FALLS</t>
  </si>
  <si>
    <t xml:space="preserve">Each hour, fresh evaporation (50 kg/hr) adds to whatever vapour the chiller failed to remove last hour (carryover). Because the incoming gas keeps gaining more total water vapour relative to the fixed N2 flow, its humidity ratio rises hour over hour, and a higher humidity ratio always corresponds to a HIGHER dew point, not a lower one. This continues until the loop reaches steady state, at which point the dew point settles at its highest, equilibrium value -- around 27-31 C across the five outlet temperatures studied here, always comfortably above the chiller outlet temperature, which is why condensation is sustained at its maximum rate once steady state is reached.</t>
  </si>
  <si>
    <t xml:space="preserve">ICE FORMATION RISK BELOW 0C</t>
  </si>
  <si>
    <t xml:space="preserve">Below 0C, the condensed water freezes onto the chiller's heat-transfer surfaces rather than draining as liquid, forming an insulating frost layer. This progressively reduces heat-transfer area and airflow cross-section, causing the real outlet temperature to drift upward over time, raises pressure drop and blower load, and typically requires a periodic defrost cycle that interrupts continuous operation.</t>
  </si>
  <si>
    <t xml:space="preserve">PRACTICAL OPERATING LIMITATIONS</t>
  </si>
  <si>
    <t xml:space="preserve">Refrigeration duty rises sharply as outlet T drops, since both sensible and latent heat removal increase while refrigeration cycle COP falls as evaporator temperature decreases. Below 0C typically requires glycol or two-stage cascade refrigeration instead of a simple chilled-water loop. Defrost cycles reduce effective uptime. Real chiller efficiency (eta) likely degrades further as ice builds up, meaning the real system may need an even colder design point than this ideal calculation suggests.</t>
  </si>
  <si>
    <t xml:space="preserve">RECOMMENDED OUTLET TEMPERATURE FOR SCALE-UP</t>
  </si>
  <si>
    <t xml:space="preserve">An outlet temperature of approximately -5C to 0C is recommended. This range achieves strong single-pass removal while staying close enough to the ice point that standard single-stage mechanical refrigeration remains viable, with manageable defrost requirements. Pushing to -10C buys only a modest further improvement in steady-state carryover for materially higher refrigeration duty and ice-management complexity.</t>
  </si>
</sst>
</file>

<file path=xl/styles.xml><?xml version="1.0" encoding="utf-8"?>
<styleSheet xmlns="http://schemas.openxmlformats.org/spreadsheetml/2006/main">
  <numFmts count="8">
    <numFmt numFmtId="164" formatCode="General"/>
    <numFmt numFmtId="165" formatCode="0%"/>
    <numFmt numFmtId="166" formatCode="0.0000"/>
    <numFmt numFmtId="167" formatCode="0.000"/>
    <numFmt numFmtId="168" formatCode="0.000000"/>
    <numFmt numFmtId="169" formatCode="0.00"/>
    <numFmt numFmtId="170" formatCode="0.0%"/>
    <numFmt numFmtId="171" formatCode="0.0"/>
  </numFmts>
  <fonts count="16">
    <font>
      <sz val="11"/>
      <color theme="1"/>
      <name val="Calibri"/>
      <family val="2"/>
      <charset val="1"/>
    </font>
    <font>
      <sz val="10"/>
      <name val="Arial"/>
      <family val="0"/>
    </font>
    <font>
      <sz val="10"/>
      <name val="Arial"/>
      <family val="0"/>
    </font>
    <font>
      <sz val="10"/>
      <name val="Arial"/>
      <family val="0"/>
    </font>
    <font>
      <b val="true"/>
      <sz val="16"/>
      <color rgb="FF1F3864"/>
      <name val="Calibri"/>
      <family val="0"/>
      <charset val="1"/>
    </font>
    <font>
      <i val="true"/>
      <sz val="10"/>
      <color rgb="FF595959"/>
      <name val="Calibri"/>
      <family val="0"/>
      <charset val="1"/>
    </font>
    <font>
      <b val="true"/>
      <sz val="12"/>
      <color rgb="FF1F3864"/>
      <name val="Calibri"/>
      <family val="0"/>
      <charset val="1"/>
    </font>
    <font>
      <b val="true"/>
      <sz val="11"/>
      <color rgb="FFFFFFFF"/>
      <name val="Calibri"/>
      <family val="0"/>
      <charset val="1"/>
    </font>
    <font>
      <sz val="10"/>
      <name val="Calibri"/>
      <family val="0"/>
      <charset val="1"/>
    </font>
    <font>
      <sz val="10"/>
      <color rgb="FF0000FF"/>
      <name val="Calibri"/>
      <family val="0"/>
      <charset val="1"/>
    </font>
    <font>
      <i val="true"/>
      <sz val="9"/>
      <color rgb="FF595959"/>
      <name val="Calibri"/>
      <family val="0"/>
      <charset val="1"/>
    </font>
    <font>
      <b val="true"/>
      <sz val="10"/>
      <name val="Calibri"/>
      <family val="0"/>
      <charset val="1"/>
    </font>
    <font>
      <sz val="10"/>
      <color rgb="FF000000"/>
      <name val="Calibri"/>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1F3864"/>
        <bgColor rgb="FF333333"/>
      </patternFill>
    </fill>
    <fill>
      <patternFill patternType="solid">
        <fgColor rgb="FFD9E1F2"/>
        <bgColor rgb="FFD9D9D9"/>
      </patternFill>
    </fill>
    <fill>
      <patternFill patternType="solid">
        <fgColor rgb="FFF7F7F7"/>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center" vertical="center" textRotation="0" wrapText="true" indent="0" shrinkToFit="false"/>
      <protection locked="true" hidden="false"/>
    </xf>
    <xf numFmtId="164" fontId="8" fillId="0" borderId="1" xfId="0" applyFont="true" applyBorder="true" applyAlignment="true" applyProtection="true">
      <alignment horizontal="left" vertical="center" textRotation="0" wrapText="true" indent="0" shrinkToFit="false"/>
      <protection locked="true" hidden="false"/>
    </xf>
    <xf numFmtId="164" fontId="9" fillId="0" borderId="1" xfId="0" applyFont="true" applyBorder="true" applyAlignment="true" applyProtection="true">
      <alignment horizontal="center" vertical="center" textRotation="0" wrapText="tru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left" vertical="center" textRotation="0" wrapText="true" indent="0" shrinkToFit="false"/>
      <protection locked="true" hidden="false"/>
    </xf>
    <xf numFmtId="164" fontId="8" fillId="0" borderId="1" xfId="0" applyFont="true" applyBorder="true" applyAlignment="true" applyProtection="true">
      <alignment horizontal="left" vertical="top" textRotation="0" wrapText="tru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5" fontId="12" fillId="0" borderId="1"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6" fontId="12" fillId="0" borderId="1" xfId="0" applyFont="true" applyBorder="true" applyAlignment="true" applyProtection="true">
      <alignment horizontal="general" vertical="bottom" textRotation="0" wrapText="false" indent="0" shrinkToFit="false"/>
      <protection locked="true" hidden="false"/>
    </xf>
    <xf numFmtId="167" fontId="11" fillId="3" borderId="1" xfId="0" applyFont="true" applyBorder="true" applyAlignment="true" applyProtection="true">
      <alignment horizontal="general" vertical="bottom" textRotation="0" wrapText="false" indent="0" shrinkToFit="false"/>
      <protection locked="true" hidden="false"/>
    </xf>
    <xf numFmtId="167" fontId="12" fillId="0" borderId="1" xfId="0" applyFont="true" applyBorder="true" applyAlignment="true" applyProtection="true">
      <alignment horizontal="center" vertical="center" textRotation="0" wrapText="true" indent="0" shrinkToFit="false"/>
      <protection locked="true" hidden="false"/>
    </xf>
    <xf numFmtId="168" fontId="12" fillId="0" borderId="1" xfId="0" applyFont="true" applyBorder="true" applyAlignment="true" applyProtection="true">
      <alignment horizontal="center" vertical="center" textRotation="0" wrapText="true" indent="0" shrinkToFit="false"/>
      <protection locked="true" hidden="false"/>
    </xf>
    <xf numFmtId="169" fontId="12" fillId="0" borderId="1" xfId="0" applyFont="true" applyBorder="true" applyAlignment="true" applyProtection="true">
      <alignment horizontal="center" vertical="center" textRotation="0" wrapText="true" indent="0" shrinkToFit="false"/>
      <protection locked="true" hidden="false"/>
    </xf>
    <xf numFmtId="170" fontId="12" fillId="0" borderId="1" xfId="0" applyFont="true" applyBorder="true" applyAlignment="true" applyProtection="true">
      <alignment horizontal="center" vertical="center" textRotation="0" wrapText="true" indent="0" shrinkToFit="false"/>
      <protection locked="true" hidden="false"/>
    </xf>
    <xf numFmtId="164" fontId="8" fillId="4" borderId="1" xfId="0" applyFont="true" applyBorder="true" applyAlignment="true" applyProtection="true">
      <alignment horizontal="center" vertical="center" textRotation="0" wrapText="true" indent="0" shrinkToFit="false"/>
      <protection locked="true" hidden="false"/>
    </xf>
    <xf numFmtId="167" fontId="12" fillId="4" borderId="1" xfId="0" applyFont="true" applyBorder="true" applyAlignment="true" applyProtection="true">
      <alignment horizontal="center" vertical="center" textRotation="0" wrapText="true" indent="0" shrinkToFit="false"/>
      <protection locked="true" hidden="false"/>
    </xf>
    <xf numFmtId="168" fontId="12" fillId="4" borderId="1" xfId="0" applyFont="true" applyBorder="true" applyAlignment="true" applyProtection="true">
      <alignment horizontal="center" vertical="center" textRotation="0" wrapText="true" indent="0" shrinkToFit="false"/>
      <protection locked="true" hidden="false"/>
    </xf>
    <xf numFmtId="169" fontId="12" fillId="4" borderId="1" xfId="0" applyFont="true" applyBorder="true" applyAlignment="true" applyProtection="true">
      <alignment horizontal="center" vertical="center" textRotation="0" wrapText="true" indent="0" shrinkToFit="false"/>
      <protection locked="true" hidden="false"/>
    </xf>
    <xf numFmtId="170" fontId="12" fillId="4" borderId="1" xfId="0" applyFont="true" applyBorder="true" applyAlignment="true" applyProtection="true">
      <alignment horizontal="center" vertical="center" textRotation="0" wrapText="tru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true" hidden="false"/>
    </xf>
    <xf numFmtId="164" fontId="10" fillId="0" borderId="0" xfId="0" applyFont="true" applyBorder="true" applyAlignment="true" applyProtection="true">
      <alignment horizontal="left" vertical="top" textRotation="0" wrapText="true" indent="0" shrinkToFit="false"/>
      <protection locked="true" hidden="false"/>
    </xf>
    <xf numFmtId="164" fontId="10" fillId="0" borderId="1" xfId="0" applyFont="true" applyBorder="true" applyAlignment="true" applyProtection="true">
      <alignment horizontal="left" vertical="top" textRotation="0" wrapText="true" indent="0" shrinkToFit="false"/>
      <protection locked="true" hidden="false"/>
    </xf>
    <xf numFmtId="165" fontId="9" fillId="0" borderId="1" xfId="0" applyFont="true" applyBorder="true" applyAlignment="true" applyProtection="true">
      <alignment horizontal="center" vertical="center" textRotation="0" wrapText="true" indent="0" shrinkToFit="false"/>
      <protection locked="true" hidden="false"/>
    </xf>
    <xf numFmtId="171" fontId="11" fillId="0" borderId="1" xfId="0" applyFont="true" applyBorder="true" applyAlignment="true" applyProtection="true">
      <alignment horizontal="center" vertical="center" textRotation="0" wrapText="true" indent="0" shrinkToFit="false"/>
      <protection locked="true" hidden="false"/>
    </xf>
    <xf numFmtId="164" fontId="6" fillId="3" borderId="1"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78787"/>
      <rgbColor rgb="FF9999FF"/>
      <rgbColor rgb="FF993366"/>
      <rgbColor rgb="FFF7F7F7"/>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Steady-State Dew Point vs Outlet Temperature</a:t>
            </a:r>
          </a:p>
        </c:rich>
      </c:tx>
      <c:overlay val="0"/>
      <c:spPr>
        <a:noFill/>
        <a:ln w="0">
          <a:noFill/>
        </a:ln>
      </c:spPr>
    </c:title>
    <c:autoTitleDeleted val="0"/>
    <c:plotArea>
      <c:lineChart>
        <c:grouping val="standard"/>
        <c:varyColors val="0"/>
        <c:ser>
          <c:idx val="0"/>
          <c:order val="0"/>
          <c:tx>
            <c:strRef>
              <c:f>'Steady-State Summary'!C4</c:f>
              <c:strCache>
                <c:ptCount val="1"/>
                <c:pt idx="0">
                  <c:v>Steady-State
Dew Point (C)</c:v>
                </c:pt>
              </c:strCache>
            </c:strRef>
          </c:tx>
          <c:spPr>
            <a:solidFill>
              <a:srgbClr val="4a7ebb"/>
            </a:solidFill>
            <a:ln w="28440">
              <a:solidFill>
                <a:srgbClr val="4a7ebb"/>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'Steady-State Summary'!$A$5:$A$9</c:f>
              <c:strCache>
                <c:ptCount val="5"/>
                <c:pt idx="0">
                  <c:v>10</c:v>
                </c:pt>
                <c:pt idx="1">
                  <c:v>5</c:v>
                </c:pt>
                <c:pt idx="2">
                  <c:v>0</c:v>
                </c:pt>
                <c:pt idx="3">
                  <c:v>-5</c:v>
                </c:pt>
                <c:pt idx="4">
                  <c:v>-10</c:v>
                </c:pt>
              </c:strCache>
            </c:strRef>
          </c:cat>
          <c:val>
            <c:numRef>
              <c:f>'Steady-State Summary'!$C$5:$C$9</c:f>
              <c:numCache>
                <c:formatCode>0.00</c:formatCode>
                <c:ptCount val="5"/>
                <c:pt idx="0">
                  <c:v>31.1753581732324</c:v>
                </c:pt>
                <c:pt idx="1">
                  <c:v>29.8446229587028</c:v>
                </c:pt>
                <c:pt idx="2">
                  <c:v>28.8076051543013</c:v>
                </c:pt>
                <c:pt idx="3">
                  <c:v>27.9573223600764</c:v>
                </c:pt>
                <c:pt idx="4">
                  <c:v>27.3433834739143</c:v>
                </c:pt>
              </c:numCache>
            </c:numRef>
          </c:val>
          <c:smooth val="1"/>
        </c:ser>
        <c:hiLowLines>
          <c:spPr>
            <a:ln w="0">
              <a:noFill/>
            </a:ln>
          </c:spPr>
        </c:hiLowLines>
        <c:marker val="0"/>
        <c:axId val="64769562"/>
        <c:axId val="25718515"/>
      </c:lineChart>
      <c:catAx>
        <c:axId val="6476956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Outlet Temperature (C)</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718515"/>
        <c:crosses val="autoZero"/>
        <c:auto val="1"/>
        <c:lblAlgn val="ctr"/>
        <c:lblOffset val="100"/>
        <c:noMultiLvlLbl val="0"/>
      </c:catAx>
      <c:valAx>
        <c:axId val="2571851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Steady-State Dew Point of Recirculating Gas (C)</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76956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12</xdr:row>
      <xdr:rowOff>130680</xdr:rowOff>
    </xdr:from>
    <xdr:to>
      <xdr:col>4</xdr:col>
      <xdr:colOff>465480</xdr:colOff>
      <xdr:row>27</xdr:row>
      <xdr:rowOff>152280</xdr:rowOff>
    </xdr:to>
    <xdr:graphicFrame>
      <xdr:nvGraphicFramePr>
        <xdr:cNvPr id="0" name="Chart 1"/>
        <xdr:cNvGraphicFramePr/>
      </xdr:nvGraphicFramePr>
      <xdr:xfrm>
        <a:off x="0" y="3666960"/>
        <a:ext cx="53992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3" min="2" style="1" width="16"/>
    <col collapsed="false" customWidth="true" hidden="false" outlineLevel="0" max="4" min="4" style="1" width="58"/>
  </cols>
  <sheetData>
    <row r="1" customFormat="false" ht="19.7" hidden="false" customHeight="false" outlineLevel="0" collapsed="false">
      <c r="A1" s="2" t="s">
        <v>0</v>
      </c>
      <c r="B1" s="2"/>
      <c r="C1" s="2"/>
      <c r="D1" s="2"/>
    </row>
    <row r="2" customFormat="false" ht="15" hidden="false" customHeight="false" outlineLevel="0" collapsed="false">
      <c r="A2" s="3" t="s">
        <v>1</v>
      </c>
      <c r="B2" s="3"/>
      <c r="C2" s="3"/>
      <c r="D2" s="3"/>
    </row>
    <row r="4" customFormat="false" ht="15" hidden="false" customHeight="false" outlineLevel="0" collapsed="false">
      <c r="A4" s="4" t="s">
        <v>2</v>
      </c>
      <c r="B4" s="4"/>
      <c r="C4" s="4"/>
      <c r="D4" s="4"/>
    </row>
    <row r="5" customFormat="false" ht="15" hidden="false" customHeight="false" outlineLevel="0" collapsed="false">
      <c r="A5" s="5" t="s">
        <v>3</v>
      </c>
      <c r="B5" s="5" t="s">
        <v>4</v>
      </c>
      <c r="C5" s="5" t="s">
        <v>5</v>
      </c>
      <c r="D5" s="5" t="s">
        <v>6</v>
      </c>
    </row>
    <row r="6" customFormat="false" ht="15" hidden="false" customHeight="false" outlineLevel="0" collapsed="false">
      <c r="A6" s="6" t="s">
        <v>7</v>
      </c>
      <c r="B6" s="7" t="n">
        <v>3000</v>
      </c>
      <c r="C6" s="8" t="s">
        <v>8</v>
      </c>
      <c r="D6" s="9" t="s">
        <v>9</v>
      </c>
    </row>
    <row r="7" customFormat="false" ht="15" hidden="false" customHeight="false" outlineLevel="0" collapsed="false">
      <c r="A7" s="6" t="s">
        <v>10</v>
      </c>
      <c r="B7" s="7" t="n">
        <v>50</v>
      </c>
      <c r="C7" s="8" t="s">
        <v>8</v>
      </c>
      <c r="D7" s="9" t="s">
        <v>11</v>
      </c>
    </row>
    <row r="8" customFormat="false" ht="15" hidden="false" customHeight="false" outlineLevel="0" collapsed="false">
      <c r="A8" s="6" t="s">
        <v>12</v>
      </c>
      <c r="B8" s="7" t="n">
        <v>1</v>
      </c>
      <c r="C8" s="8" t="s">
        <v>13</v>
      </c>
      <c r="D8" s="9" t="s">
        <v>14</v>
      </c>
    </row>
    <row r="9" customFormat="false" ht="15" hidden="false" customHeight="false" outlineLevel="0" collapsed="false">
      <c r="A9" s="6" t="s">
        <v>15</v>
      </c>
      <c r="B9" s="7" t="n">
        <v>18.015</v>
      </c>
      <c r="C9" s="8" t="s">
        <v>16</v>
      </c>
      <c r="D9" s="9" t="s">
        <v>17</v>
      </c>
    </row>
    <row r="10" customFormat="false" ht="15" hidden="false" customHeight="false" outlineLevel="0" collapsed="false">
      <c r="A10" s="6" t="s">
        <v>18</v>
      </c>
      <c r="B10" s="7" t="n">
        <v>28.014</v>
      </c>
      <c r="C10" s="8" t="s">
        <v>16</v>
      </c>
      <c r="D10" s="9" t="s">
        <v>17</v>
      </c>
    </row>
    <row r="11" customFormat="false" ht="22.35" hidden="false" customHeight="false" outlineLevel="0" collapsed="false">
      <c r="A11" s="6" t="s">
        <v>19</v>
      </c>
      <c r="B11" s="7" t="n">
        <v>0.75</v>
      </c>
      <c r="C11" s="8" t="s">
        <v>20</v>
      </c>
      <c r="D11" s="9" t="s">
        <v>21</v>
      </c>
    </row>
    <row r="12" customFormat="false" ht="15" hidden="false" customHeight="false" outlineLevel="0" collapsed="false">
      <c r="A12" s="6" t="s">
        <v>22</v>
      </c>
      <c r="B12" s="7" t="n">
        <v>12</v>
      </c>
      <c r="C12" s="8" t="s">
        <v>23</v>
      </c>
      <c r="D12" s="9" t="s">
        <v>24</v>
      </c>
    </row>
    <row r="14" customFormat="false" ht="15" hidden="false" customHeight="false" outlineLevel="0" collapsed="false">
      <c r="A14" s="4" t="s">
        <v>25</v>
      </c>
      <c r="B14" s="4"/>
      <c r="C14" s="4"/>
      <c r="D14" s="4"/>
    </row>
    <row r="15" customFormat="false" ht="144.75" hidden="false" customHeight="true" outlineLevel="0" collapsed="false">
      <c r="A15" s="10" t="s">
        <v>26</v>
      </c>
      <c r="B15" s="10"/>
      <c r="C15" s="10"/>
      <c r="D15" s="10"/>
    </row>
    <row r="17" customFormat="false" ht="15" hidden="false" customHeight="false" outlineLevel="0" collapsed="false">
      <c r="A17" s="4" t="s">
        <v>27</v>
      </c>
      <c r="B17" s="4"/>
      <c r="C17" s="4"/>
      <c r="D17" s="4"/>
    </row>
    <row r="18" customFormat="false" ht="25.5" hidden="false" customHeight="true" outlineLevel="0" collapsed="false">
      <c r="A18" s="10" t="s">
        <v>28</v>
      </c>
      <c r="B18" s="10"/>
      <c r="C18" s="10"/>
      <c r="D18" s="10"/>
    </row>
    <row r="19" customFormat="false" ht="25.5" hidden="false" customHeight="true" outlineLevel="0" collapsed="false">
      <c r="A19" s="10" t="s">
        <v>29</v>
      </c>
      <c r="B19" s="10"/>
      <c r="C19" s="10"/>
      <c r="D19" s="10"/>
    </row>
    <row r="20" customFormat="false" ht="25.5" hidden="false" customHeight="true" outlineLevel="0" collapsed="false">
      <c r="A20" s="10" t="s">
        <v>30</v>
      </c>
      <c r="B20" s="10"/>
      <c r="C20" s="10"/>
      <c r="D20" s="10"/>
    </row>
    <row r="21" customFormat="false" ht="25.5" hidden="false" customHeight="true" outlineLevel="0" collapsed="false">
      <c r="A21" s="10" t="s">
        <v>31</v>
      </c>
      <c r="B21" s="10"/>
      <c r="C21" s="10"/>
      <c r="D21" s="10"/>
    </row>
    <row r="22" customFormat="false" ht="25.5" hidden="false" customHeight="true" outlineLevel="0" collapsed="false">
      <c r="A22" s="10" t="s">
        <v>32</v>
      </c>
      <c r="B22" s="10"/>
      <c r="C22" s="10"/>
      <c r="D22" s="10"/>
    </row>
    <row r="23" customFormat="false" ht="25.5" hidden="false" customHeight="true" outlineLevel="0" collapsed="false">
      <c r="A23" s="10" t="s">
        <v>33</v>
      </c>
      <c r="B23" s="10"/>
      <c r="C23" s="10"/>
      <c r="D23" s="10"/>
    </row>
    <row r="24" customFormat="false" ht="25.5" hidden="false" customHeight="true" outlineLevel="0" collapsed="false">
      <c r="A24" s="10" t="s">
        <v>34</v>
      </c>
      <c r="B24" s="10"/>
      <c r="C24" s="10"/>
      <c r="D24" s="10"/>
    </row>
    <row r="25" customFormat="false" ht="25.5" hidden="false" customHeight="true" outlineLevel="0" collapsed="false">
      <c r="A25" s="10" t="s">
        <v>35</v>
      </c>
      <c r="B25" s="10"/>
      <c r="C25" s="10"/>
      <c r="D25" s="10"/>
    </row>
    <row r="26" customFormat="false" ht="25.5" hidden="false" customHeight="true" outlineLevel="0" collapsed="false">
      <c r="A26" s="10" t="s">
        <v>36</v>
      </c>
      <c r="B26" s="10"/>
      <c r="C26" s="10"/>
      <c r="D26" s="10"/>
    </row>
    <row r="27" customFormat="false" ht="25.5" hidden="false" customHeight="true" outlineLevel="0" collapsed="false">
      <c r="A27" s="10" t="s">
        <v>37</v>
      </c>
      <c r="B27" s="10"/>
      <c r="C27" s="10"/>
      <c r="D27" s="10"/>
    </row>
  </sheetData>
  <mergeCells count="16">
    <mergeCell ref="A1:D1"/>
    <mergeCell ref="A2:D2"/>
    <mergeCell ref="A4:D4"/>
    <mergeCell ref="A14:D14"/>
    <mergeCell ref="A15:D15"/>
    <mergeCell ref="A17:D17"/>
    <mergeCell ref="A18:D18"/>
    <mergeCell ref="A19:D19"/>
    <mergeCell ref="A20:D20"/>
    <mergeCell ref="A21:D21"/>
    <mergeCell ref="A22:D22"/>
    <mergeCell ref="A23:D23"/>
    <mergeCell ref="A24:D24"/>
    <mergeCell ref="A25:D25"/>
    <mergeCell ref="A26:D26"/>
    <mergeCell ref="A27:D27"/>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9" min="2" style="1" width="13"/>
  </cols>
  <sheetData>
    <row r="1" customFormat="false" ht="19.7" hidden="false" customHeight="false" outlineLevel="0" collapsed="false">
      <c r="A1" s="2" t="s">
        <v>38</v>
      </c>
      <c r="B1" s="2"/>
      <c r="C1" s="2"/>
      <c r="D1" s="2"/>
      <c r="E1" s="2"/>
      <c r="F1" s="2"/>
      <c r="G1" s="2"/>
      <c r="H1" s="2"/>
      <c r="I1" s="2"/>
    </row>
    <row r="2" customFormat="false" ht="15" hidden="false" customHeight="false" outlineLevel="0" collapsed="false">
      <c r="A2" s="3" t="s">
        <v>39</v>
      </c>
      <c r="B2" s="3"/>
      <c r="C2" s="3"/>
      <c r="D2" s="3"/>
      <c r="E2" s="3"/>
      <c r="F2" s="3"/>
      <c r="G2" s="3"/>
      <c r="H2" s="3"/>
      <c r="I2" s="3"/>
    </row>
    <row r="4" customFormat="false" ht="15" hidden="false" customHeight="false" outlineLevel="0" collapsed="false">
      <c r="A4" s="11" t="s">
        <v>40</v>
      </c>
      <c r="B4" s="12" t="n">
        <f aca="false">Assumptions!$B$11</f>
        <v>0.75</v>
      </c>
    </row>
    <row r="6" customFormat="false" ht="15" hidden="false" customHeight="false" outlineLevel="0" collapsed="false">
      <c r="A6" s="4" t="s">
        <v>41</v>
      </c>
      <c r="B6" s="4"/>
      <c r="C6" s="4"/>
      <c r="D6" s="4"/>
      <c r="E6" s="13" t="s">
        <v>42</v>
      </c>
      <c r="F6" s="14" t="n">
        <f aca="false">IF(10&gt;=0,10^(8.07131-1730.63/(233.426+10)),6.1115*EXP(22.452*10/(272.55+10))*0.750062)</f>
        <v>9.15881654605657</v>
      </c>
      <c r="G6" s="13" t="s">
        <v>43</v>
      </c>
      <c r="H6" s="15" t="n">
        <f aca="false">(($F$6)/(760-$F$6))*(Assumptions!$B$9/Assumptions!$B$10)*Assumptions!$B$6</f>
        <v>23.532695286071</v>
      </c>
    </row>
    <row r="7" customFormat="false" ht="39.75" hidden="false" customHeight="true" outlineLevel="0" collapsed="false">
      <c r="A7" s="5" t="s">
        <v>44</v>
      </c>
      <c r="B7" s="5" t="s">
        <v>45</v>
      </c>
      <c r="C7" s="5" t="s">
        <v>46</v>
      </c>
      <c r="D7" s="5" t="s">
        <v>47</v>
      </c>
      <c r="E7" s="5" t="s">
        <v>48</v>
      </c>
      <c r="F7" s="5" t="s">
        <v>49</v>
      </c>
      <c r="G7" s="5" t="s">
        <v>50</v>
      </c>
      <c r="H7" s="5" t="s">
        <v>51</v>
      </c>
      <c r="I7" s="5" t="s">
        <v>52</v>
      </c>
    </row>
    <row r="8" customFormat="false" ht="15" hidden="false" customHeight="false" outlineLevel="0" collapsed="false">
      <c r="A8" s="8" t="n">
        <v>1</v>
      </c>
      <c r="B8" s="16" t="n">
        <f aca="false">Assumptions!$B$7</f>
        <v>50</v>
      </c>
      <c r="C8" s="17" t="n">
        <f aca="false">B8/Assumptions!$B$6</f>
        <v>0.0166666666666667</v>
      </c>
      <c r="D8" s="16" t="n">
        <f aca="false">(C8*(Assumptions!$B$10/Assumptions!$B$9))*760/(1+(C8*(Assumptions!$B$10/Assumptions!$B$9)))</f>
        <v>19.1995411727149</v>
      </c>
      <c r="E8" s="18" t="n">
        <f aca="false">1730.63/(8.07131-LOG10(D8))-233.426</f>
        <v>21.5276119140316</v>
      </c>
      <c r="F8" s="16" t="n">
        <f aca="false">MAX(B8-$H$6,0)</f>
        <v>26.467304713929</v>
      </c>
      <c r="G8" s="16" t="n">
        <f aca="false">$B$4*F8</f>
        <v>19.8504785354467</v>
      </c>
      <c r="H8" s="16" t="n">
        <f aca="false">B8-G8</f>
        <v>30.1495214645533</v>
      </c>
      <c r="I8" s="19" t="n">
        <f aca="false">G8/Assumptions!$B$7</f>
        <v>0.397009570708934</v>
      </c>
    </row>
    <row r="9" customFormat="false" ht="15" hidden="false" customHeight="false" outlineLevel="0" collapsed="false">
      <c r="A9" s="20" t="n">
        <v>2</v>
      </c>
      <c r="B9" s="21" t="n">
        <f aca="false">H8+Assumptions!$B$7</f>
        <v>80.1495214645533</v>
      </c>
      <c r="C9" s="22" t="n">
        <f aca="false">B9/Assumptions!$B$6</f>
        <v>0.0267165071548511</v>
      </c>
      <c r="D9" s="21" t="n">
        <f aca="false">(C9*(Assumptions!$B$10/Assumptions!$B$9))*760/(1+(C9*(Assumptions!$B$10/Assumptions!$B$9)))</f>
        <v>30.314891626214</v>
      </c>
      <c r="E9" s="23" t="n">
        <f aca="false">1730.63/(8.07131-LOG10(D9))-233.426</f>
        <v>29.2023573086372</v>
      </c>
      <c r="F9" s="21" t="n">
        <f aca="false">MAX(B9-$H$6,0)</f>
        <v>56.6168261784822</v>
      </c>
      <c r="G9" s="21" t="n">
        <f aca="false">$B$4*F9</f>
        <v>42.4626196338617</v>
      </c>
      <c r="H9" s="21" t="n">
        <f aca="false">B9-G9</f>
        <v>37.6869018306916</v>
      </c>
      <c r="I9" s="24" t="n">
        <f aca="false">G9/Assumptions!$B$7</f>
        <v>0.849252392677234</v>
      </c>
    </row>
    <row r="10" customFormat="false" ht="15" hidden="false" customHeight="false" outlineLevel="0" collapsed="false">
      <c r="A10" s="8" t="n">
        <v>3</v>
      </c>
      <c r="B10" s="16" t="n">
        <f aca="false">H9+Assumptions!$B$7</f>
        <v>87.6869018306916</v>
      </c>
      <c r="C10" s="17" t="n">
        <f aca="false">B10/Assumptions!$B$6</f>
        <v>0.0292289672768972</v>
      </c>
      <c r="D10" s="16" t="n">
        <f aca="false">(C10*(Assumptions!$B$10/Assumptions!$B$9))*760/(1+(C10*(Assumptions!$B$10/Assumptions!$B$9)))</f>
        <v>33.0418051306304</v>
      </c>
      <c r="E10" s="18" t="n">
        <f aca="false">1730.63/(8.07131-LOG10(D10))-233.426</f>
        <v>30.7017415523565</v>
      </c>
      <c r="F10" s="16" t="n">
        <f aca="false">MAX(B10-$H$6,0)</f>
        <v>64.1542065446206</v>
      </c>
      <c r="G10" s="16" t="n">
        <f aca="false">$B$4*F10</f>
        <v>48.1156549084654</v>
      </c>
      <c r="H10" s="16" t="n">
        <f aca="false">B10-G10</f>
        <v>39.5712469222262</v>
      </c>
      <c r="I10" s="19" t="n">
        <f aca="false">G10/Assumptions!$B$7</f>
        <v>0.962313098169308</v>
      </c>
    </row>
    <row r="11" customFormat="false" ht="15" hidden="false" customHeight="false" outlineLevel="0" collapsed="false">
      <c r="A11" s="20" t="n">
        <v>4</v>
      </c>
      <c r="B11" s="21" t="n">
        <f aca="false">H10+Assumptions!$B$7</f>
        <v>89.5712469222262</v>
      </c>
      <c r="C11" s="22" t="n">
        <f aca="false">B11/Assumptions!$B$6</f>
        <v>0.0298570823074087</v>
      </c>
      <c r="D11" s="21" t="n">
        <f aca="false">(C11*(Assumptions!$B$10/Assumptions!$B$9))*760/(1+(C11*(Assumptions!$B$10/Assumptions!$B$9)))</f>
        <v>33.720351861872</v>
      </c>
      <c r="E11" s="23" t="n">
        <f aca="false">1730.63/(8.07131-LOG10(D11))-233.426</f>
        <v>31.058100793021</v>
      </c>
      <c r="F11" s="21" t="n">
        <f aca="false">MAX(B11-$H$6,0)</f>
        <v>66.0385516361552</v>
      </c>
      <c r="G11" s="21" t="n">
        <f aca="false">$B$4*F11</f>
        <v>49.5289137271164</v>
      </c>
      <c r="H11" s="21" t="n">
        <f aca="false">B11-G11</f>
        <v>40.0423331951098</v>
      </c>
      <c r="I11" s="24" t="n">
        <f aca="false">G11/Assumptions!$B$7</f>
        <v>0.990578274542327</v>
      </c>
    </row>
    <row r="12" customFormat="false" ht="15" hidden="false" customHeight="false" outlineLevel="0" collapsed="false">
      <c r="A12" s="8" t="n">
        <v>5</v>
      </c>
      <c r="B12" s="16" t="n">
        <f aca="false">H11+Assumptions!$B$7</f>
        <v>90.0423331951098</v>
      </c>
      <c r="C12" s="17" t="n">
        <f aca="false">B12/Assumptions!$B$6</f>
        <v>0.0300141110650366</v>
      </c>
      <c r="D12" s="16" t="n">
        <f aca="false">(C12*(Assumptions!$B$10/Assumptions!$B$9))*760/(1+(C12*(Assumptions!$B$10/Assumptions!$B$9)))</f>
        <v>33.8897906661051</v>
      </c>
      <c r="E12" s="18" t="n">
        <f aca="false">1730.63/(8.07131-LOG10(D12))-233.426</f>
        <v>31.1461155825497</v>
      </c>
      <c r="F12" s="16" t="n">
        <f aca="false">MAX(B12-$H$6,0)</f>
        <v>66.5096379090388</v>
      </c>
      <c r="G12" s="16" t="n">
        <f aca="false">$B$4*F12</f>
        <v>49.8822284317791</v>
      </c>
      <c r="H12" s="16" t="n">
        <f aca="false">B12-G12</f>
        <v>40.1601047633307</v>
      </c>
      <c r="I12" s="19" t="n">
        <f aca="false">G12/Assumptions!$B$7</f>
        <v>0.997644568635582</v>
      </c>
    </row>
    <row r="13" customFormat="false" ht="15" hidden="false" customHeight="false" outlineLevel="0" collapsed="false">
      <c r="A13" s="20" t="n">
        <v>6</v>
      </c>
      <c r="B13" s="21" t="n">
        <f aca="false">H12+Assumptions!$B$7</f>
        <v>90.1601047633307</v>
      </c>
      <c r="C13" s="22" t="n">
        <f aca="false">B13/Assumptions!$B$6</f>
        <v>0.0300533682544436</v>
      </c>
      <c r="D13" s="21" t="n">
        <f aca="false">(C13*(Assumptions!$B$10/Assumptions!$B$9))*760/(1+(C13*(Assumptions!$B$10/Assumptions!$B$9)))</f>
        <v>33.9321380148992</v>
      </c>
      <c r="E13" s="23" t="n">
        <f aca="false">1730.63/(8.07131-LOG10(D13))-233.426</f>
        <v>31.1680532462721</v>
      </c>
      <c r="F13" s="21" t="n">
        <f aca="false">MAX(B13-$H$6,0)</f>
        <v>66.6274094772597</v>
      </c>
      <c r="G13" s="21" t="n">
        <f aca="false">$B$4*F13</f>
        <v>49.9705571079448</v>
      </c>
      <c r="H13" s="21" t="n">
        <f aca="false">B13-G13</f>
        <v>40.189547655386</v>
      </c>
      <c r="I13" s="24" t="n">
        <f aca="false">G13/Assumptions!$B$7</f>
        <v>0.999411142158896</v>
      </c>
    </row>
    <row r="14" customFormat="false" ht="15" hidden="false" customHeight="false" outlineLevel="0" collapsed="false">
      <c r="A14" s="8" t="n">
        <v>7</v>
      </c>
      <c r="B14" s="16" t="n">
        <f aca="false">H13+Assumptions!$B$7</f>
        <v>90.189547655386</v>
      </c>
      <c r="C14" s="17" t="n">
        <f aca="false">B14/Assumptions!$B$6</f>
        <v>0.0300631825517953</v>
      </c>
      <c r="D14" s="16" t="n">
        <f aca="false">(C14*(Assumptions!$B$10/Assumptions!$B$9))*760/(1+(C14*(Assumptions!$B$10/Assumptions!$B$9)))</f>
        <v>33.9427240803175</v>
      </c>
      <c r="E14" s="18" t="n">
        <f aca="false">1730.63/(8.07131-LOG10(D14))-233.426</f>
        <v>31.1735335527868</v>
      </c>
      <c r="F14" s="16" t="n">
        <f aca="false">MAX(B14-$H$6,0)</f>
        <v>66.6568523693149</v>
      </c>
      <c r="G14" s="16" t="n">
        <f aca="false">$B$4*F14</f>
        <v>49.9926392769862</v>
      </c>
      <c r="H14" s="16" t="n">
        <f aca="false">B14-G14</f>
        <v>40.1969083783998</v>
      </c>
      <c r="I14" s="19" t="n">
        <f aca="false">G14/Assumptions!$B$7</f>
        <v>0.999852785539724</v>
      </c>
    </row>
    <row r="15" customFormat="false" ht="15" hidden="false" customHeight="false" outlineLevel="0" collapsed="false">
      <c r="A15" s="20" t="n">
        <v>8</v>
      </c>
      <c r="B15" s="21" t="n">
        <f aca="false">H14+Assumptions!$B$7</f>
        <v>90.1969083783998</v>
      </c>
      <c r="C15" s="22" t="n">
        <f aca="false">B15/Assumptions!$B$6</f>
        <v>0.0300656361261333</v>
      </c>
      <c r="D15" s="21" t="n">
        <f aca="false">(C15*(Assumptions!$B$10/Assumptions!$B$9))*760/(1+(C15*(Assumptions!$B$10/Assumptions!$B$9)))</f>
        <v>33.9453705484396</v>
      </c>
      <c r="E15" s="23" t="n">
        <f aca="false">1730.63/(8.07131-LOG10(D15))-233.426</f>
        <v>31.174903372852</v>
      </c>
      <c r="F15" s="21" t="n">
        <f aca="false">MAX(B15-$H$6,0)</f>
        <v>66.6642130923287</v>
      </c>
      <c r="G15" s="21" t="n">
        <f aca="false">$B$4*F15</f>
        <v>49.9981598192466</v>
      </c>
      <c r="H15" s="21" t="n">
        <f aca="false">B15-G15</f>
        <v>40.1987485591532</v>
      </c>
      <c r="I15" s="24" t="n">
        <f aca="false">G15/Assumptions!$B$7</f>
        <v>0.999963196384931</v>
      </c>
    </row>
    <row r="16" customFormat="false" ht="15" hidden="false" customHeight="false" outlineLevel="0" collapsed="false">
      <c r="A16" s="8" t="n">
        <v>9</v>
      </c>
      <c r="B16" s="16" t="n">
        <f aca="false">H15+Assumptions!$B$7</f>
        <v>90.1987485591532</v>
      </c>
      <c r="C16" s="17" t="n">
        <f aca="false">B16/Assumptions!$B$6</f>
        <v>0.0300662495197177</v>
      </c>
      <c r="D16" s="16" t="n">
        <f aca="false">(C16*(Assumptions!$B$10/Assumptions!$B$9))*760/(1+(C16*(Assumptions!$B$10/Assumptions!$B$9)))</f>
        <v>33.9460321624556</v>
      </c>
      <c r="E16" s="18" t="n">
        <f aca="false">1730.63/(8.07131-LOG10(D16))-233.426</f>
        <v>31.1752458118374</v>
      </c>
      <c r="F16" s="16" t="n">
        <f aca="false">MAX(B16-$H$6,0)</f>
        <v>66.6660532730822</v>
      </c>
      <c r="G16" s="16" t="n">
        <f aca="false">$B$4*F16</f>
        <v>49.9995399548116</v>
      </c>
      <c r="H16" s="16" t="n">
        <f aca="false">B16-G16</f>
        <v>40.1992086043416</v>
      </c>
      <c r="I16" s="19" t="n">
        <f aca="false">G16/Assumptions!$B$7</f>
        <v>0.999990799096233</v>
      </c>
    </row>
    <row r="17" customFormat="false" ht="15" hidden="false" customHeight="false" outlineLevel="0" collapsed="false">
      <c r="A17" s="20" t="n">
        <v>10</v>
      </c>
      <c r="B17" s="21" t="n">
        <f aca="false">H16+Assumptions!$B$7</f>
        <v>90.1992086043416</v>
      </c>
      <c r="C17" s="22" t="n">
        <f aca="false">B17/Assumptions!$B$6</f>
        <v>0.0300664028681139</v>
      </c>
      <c r="D17" s="21" t="n">
        <f aca="false">(C17*(Assumptions!$B$10/Assumptions!$B$9))*760/(1+(C17*(Assumptions!$B$10/Assumptions!$B$9)))</f>
        <v>33.9461975657712</v>
      </c>
      <c r="E17" s="23" t="n">
        <f aca="false">1730.63/(8.07131-LOG10(D17))-233.426</f>
        <v>31.1753314205819</v>
      </c>
      <c r="F17" s="21" t="n">
        <f aca="false">MAX(B17-$H$6,0)</f>
        <v>66.6665133182706</v>
      </c>
      <c r="G17" s="21" t="n">
        <f aca="false">$B$4*F17</f>
        <v>49.9998849887029</v>
      </c>
      <c r="H17" s="21" t="n">
        <f aca="false">B17-G17</f>
        <v>40.1993236156387</v>
      </c>
      <c r="I17" s="24" t="n">
        <f aca="false">G17/Assumptions!$B$7</f>
        <v>0.999997699774058</v>
      </c>
    </row>
    <row r="18" customFormat="false" ht="15" hidden="false" customHeight="false" outlineLevel="0" collapsed="false">
      <c r="A18" s="8" t="n">
        <v>11</v>
      </c>
      <c r="B18" s="16" t="n">
        <f aca="false">H17+Assumptions!$B$7</f>
        <v>90.1993236156387</v>
      </c>
      <c r="C18" s="17" t="n">
        <f aca="false">B18/Assumptions!$B$6</f>
        <v>0.0300664412052129</v>
      </c>
      <c r="D18" s="16" t="n">
        <f aca="false">(C18*(Assumptions!$B$10/Assumptions!$B$9))*760/(1+(C18*(Assumptions!$B$10/Assumptions!$B$9)))</f>
        <v>33.9462389165883</v>
      </c>
      <c r="E18" s="18" t="n">
        <f aca="false">1730.63/(8.07131-LOG10(D18))-233.426</f>
        <v>31.1753528227054</v>
      </c>
      <c r="F18" s="16" t="n">
        <f aca="false">MAX(B18-$H$6,0)</f>
        <v>66.6666283295676</v>
      </c>
      <c r="G18" s="16" t="n">
        <f aca="false">$B$4*F18</f>
        <v>49.9999712471757</v>
      </c>
      <c r="H18" s="16" t="n">
        <f aca="false">B18-G18</f>
        <v>40.1993523684629</v>
      </c>
      <c r="I18" s="19" t="n">
        <f aca="false">G18/Assumptions!$B$7</f>
        <v>0.999999424943515</v>
      </c>
    </row>
    <row r="19" customFormat="false" ht="15" hidden="false" customHeight="false" outlineLevel="0" collapsed="false">
      <c r="A19" s="20" t="n">
        <v>12</v>
      </c>
      <c r="B19" s="21" t="n">
        <f aca="false">H18+Assumptions!$B$7</f>
        <v>90.1993523684629</v>
      </c>
      <c r="C19" s="22" t="n">
        <f aca="false">B19/Assumptions!$B$6</f>
        <v>0.0300664507894876</v>
      </c>
      <c r="D19" s="21" t="n">
        <f aca="false">(C19*(Assumptions!$B$10/Assumptions!$B$9))*760/(1+(C19*(Assumptions!$B$10/Assumptions!$B$9)))</f>
        <v>33.9462492542919</v>
      </c>
      <c r="E19" s="23" t="n">
        <f aca="false">1730.63/(8.07131-LOG10(D19))-233.426</f>
        <v>31.1753581732324</v>
      </c>
      <c r="F19" s="21" t="n">
        <f aca="false">MAX(B19-$H$6,0)</f>
        <v>66.6666570823919</v>
      </c>
      <c r="G19" s="21" t="n">
        <f aca="false">$B$4*F19</f>
        <v>49.9999928117939</v>
      </c>
      <c r="H19" s="21" t="n">
        <f aca="false">B19-G19</f>
        <v>40.199359556669</v>
      </c>
      <c r="I19" s="24" t="n">
        <f aca="false">G19/Assumptions!$B$7</f>
        <v>0.999999856235879</v>
      </c>
    </row>
    <row r="22" customFormat="false" ht="15" hidden="false" customHeight="false" outlineLevel="0" collapsed="false">
      <c r="A22" s="4" t="s">
        <v>53</v>
      </c>
      <c r="B22" s="4"/>
      <c r="C22" s="4"/>
      <c r="D22" s="4"/>
      <c r="E22" s="13" t="s">
        <v>42</v>
      </c>
      <c r="F22" s="14" t="n">
        <f aca="false">IF(5&gt;=0,10^(8.07131-1730.63/(233.426+5)),6.1115*EXP(22.452*5/(272.55+5))*0.750062)</f>
        <v>6.49751954993013</v>
      </c>
      <c r="G22" s="13" t="s">
        <v>43</v>
      </c>
      <c r="H22" s="15" t="n">
        <f aca="false">(($F$22)/(760-$F$22))*(Assumptions!$B$9/Assumptions!$B$10)*Assumptions!$B$6</f>
        <v>16.635785249839</v>
      </c>
    </row>
    <row r="23" customFormat="false" ht="39.75" hidden="false" customHeight="true" outlineLevel="0" collapsed="false">
      <c r="A23" s="5" t="s">
        <v>44</v>
      </c>
      <c r="B23" s="5" t="s">
        <v>45</v>
      </c>
      <c r="C23" s="5" t="s">
        <v>46</v>
      </c>
      <c r="D23" s="5" t="s">
        <v>47</v>
      </c>
      <c r="E23" s="5" t="s">
        <v>48</v>
      </c>
      <c r="F23" s="5" t="s">
        <v>49</v>
      </c>
      <c r="G23" s="5" t="s">
        <v>50</v>
      </c>
      <c r="H23" s="5" t="s">
        <v>51</v>
      </c>
      <c r="I23" s="5" t="s">
        <v>52</v>
      </c>
    </row>
    <row r="24" customFormat="false" ht="15" hidden="false" customHeight="false" outlineLevel="0" collapsed="false">
      <c r="A24" s="8" t="n">
        <v>1</v>
      </c>
      <c r="B24" s="16" t="n">
        <f aca="false">Assumptions!$B$7</f>
        <v>50</v>
      </c>
      <c r="C24" s="17" t="n">
        <f aca="false">B24/Assumptions!$B$6</f>
        <v>0.0166666666666667</v>
      </c>
      <c r="D24" s="16" t="n">
        <f aca="false">(C24*(Assumptions!$B$10/Assumptions!$B$9))*760/(1+(C24*(Assumptions!$B$10/Assumptions!$B$9)))</f>
        <v>19.1995411727149</v>
      </c>
      <c r="E24" s="18" t="n">
        <f aca="false">1730.63/(8.07131-LOG10(D24))-233.426</f>
        <v>21.5276119140316</v>
      </c>
      <c r="F24" s="16" t="n">
        <f aca="false">MAX(B24-$H$22,0)</f>
        <v>33.364214750161</v>
      </c>
      <c r="G24" s="16" t="n">
        <f aca="false">$B$4*F24</f>
        <v>25.0231610626208</v>
      </c>
      <c r="H24" s="16" t="n">
        <f aca="false">B24-G24</f>
        <v>24.9768389373792</v>
      </c>
      <c r="I24" s="19" t="n">
        <f aca="false">G24/Assumptions!$B$7</f>
        <v>0.500463221252415</v>
      </c>
    </row>
    <row r="25" customFormat="false" ht="15" hidden="false" customHeight="false" outlineLevel="0" collapsed="false">
      <c r="A25" s="20" t="n">
        <v>2</v>
      </c>
      <c r="B25" s="21" t="n">
        <f aca="false">H24+Assumptions!$B$7</f>
        <v>74.9768389373792</v>
      </c>
      <c r="C25" s="22" t="n">
        <f aca="false">B25/Assumptions!$B$6</f>
        <v>0.0249922796457931</v>
      </c>
      <c r="D25" s="21" t="n">
        <f aca="false">(C25*(Assumptions!$B$10/Assumptions!$B$9))*760/(1+(C25*(Assumptions!$B$10/Assumptions!$B$9)))</f>
        <v>28.4316231250055</v>
      </c>
      <c r="E25" s="23" t="n">
        <f aca="false">1730.63/(8.07131-LOG10(D25))-233.426</f>
        <v>28.0969040053266</v>
      </c>
      <c r="F25" s="21" t="n">
        <f aca="false">MAX(B25-$H$22,0)</f>
        <v>58.3410536875403</v>
      </c>
      <c r="G25" s="21" t="n">
        <f aca="false">$B$4*F25</f>
        <v>43.7557902656552</v>
      </c>
      <c r="H25" s="21" t="n">
        <f aca="false">B25-G25</f>
        <v>31.221048671724</v>
      </c>
      <c r="I25" s="24" t="n">
        <f aca="false">G25/Assumptions!$B$7</f>
        <v>0.875115805313104</v>
      </c>
    </row>
    <row r="26" customFormat="false" ht="15" hidden="false" customHeight="false" outlineLevel="0" collapsed="false">
      <c r="A26" s="8" t="n">
        <v>3</v>
      </c>
      <c r="B26" s="16" t="n">
        <f aca="false">H25+Assumptions!$B$7</f>
        <v>81.221048671724</v>
      </c>
      <c r="C26" s="17" t="n">
        <f aca="false">B26/Assumptions!$B$6</f>
        <v>0.0270736828905747</v>
      </c>
      <c r="D26" s="16" t="n">
        <f aca="false">(C26*(Assumptions!$B$10/Assumptions!$B$9))*760/(1+(C26*(Assumptions!$B$10/Assumptions!$B$9)))</f>
        <v>30.7038012110491</v>
      </c>
      <c r="E26" s="18" t="n">
        <f aca="false">1730.63/(8.07131-LOG10(D26))-233.426</f>
        <v>29.4231831815598</v>
      </c>
      <c r="F26" s="16" t="n">
        <f aca="false">MAX(B26-$H$22,0)</f>
        <v>64.5852634218851</v>
      </c>
      <c r="G26" s="16" t="n">
        <f aca="false">$B$4*F26</f>
        <v>48.4389475664138</v>
      </c>
      <c r="H26" s="16" t="n">
        <f aca="false">B26-G26</f>
        <v>32.7821011053102</v>
      </c>
      <c r="I26" s="19" t="n">
        <f aca="false">G26/Assumptions!$B$7</f>
        <v>0.968778951328276</v>
      </c>
    </row>
    <row r="27" customFormat="false" ht="15" hidden="false" customHeight="false" outlineLevel="0" collapsed="false">
      <c r="A27" s="20" t="n">
        <v>4</v>
      </c>
      <c r="B27" s="21" t="n">
        <f aca="false">H26+Assumptions!$B$7</f>
        <v>82.7821011053102</v>
      </c>
      <c r="C27" s="22" t="n">
        <f aca="false">B27/Assumptions!$B$6</f>
        <v>0.0275940337017701</v>
      </c>
      <c r="D27" s="21" t="n">
        <f aca="false">(C27*(Assumptions!$B$10/Assumptions!$B$9))*760/(1+(C27*(Assumptions!$B$10/Assumptions!$B$9)))</f>
        <v>31.2696420819221</v>
      </c>
      <c r="E27" s="23" t="n">
        <f aca="false">1730.63/(8.07131-LOG10(D27))-233.426</f>
        <v>29.7401746210426</v>
      </c>
      <c r="F27" s="21" t="n">
        <f aca="false">MAX(B27-$H$22,0)</f>
        <v>66.1463158554713</v>
      </c>
      <c r="G27" s="21" t="n">
        <f aca="false">$B$4*F27</f>
        <v>49.6097368916035</v>
      </c>
      <c r="H27" s="21" t="n">
        <f aca="false">B27-G27</f>
        <v>33.1723642137068</v>
      </c>
      <c r="I27" s="24" t="n">
        <f aca="false">G27/Assumptions!$B$7</f>
        <v>0.992194737832069</v>
      </c>
    </row>
    <row r="28" customFormat="false" ht="15" hidden="false" customHeight="false" outlineLevel="0" collapsed="false">
      <c r="A28" s="8" t="n">
        <v>5</v>
      </c>
      <c r="B28" s="16" t="n">
        <f aca="false">H27+Assumptions!$B$7</f>
        <v>83.1723642137068</v>
      </c>
      <c r="C28" s="17" t="n">
        <f aca="false">B28/Assumptions!$B$6</f>
        <v>0.0277241214045689</v>
      </c>
      <c r="D28" s="16" t="n">
        <f aca="false">(C28*(Assumptions!$B$10/Assumptions!$B$9))*760/(1+(C28*(Assumptions!$B$10/Assumptions!$B$9)))</f>
        <v>31.410965132379</v>
      </c>
      <c r="E28" s="18" t="n">
        <f aca="false">1730.63/(8.07131-LOG10(D28))-233.426</f>
        <v>29.8185681309184</v>
      </c>
      <c r="F28" s="16" t="n">
        <f aca="false">MAX(B28-$H$22,0)</f>
        <v>66.5365789638678</v>
      </c>
      <c r="G28" s="16" t="n">
        <f aca="false">$B$4*F28</f>
        <v>49.9024342229009</v>
      </c>
      <c r="H28" s="16" t="n">
        <f aca="false">B28-G28</f>
        <v>33.2699299908059</v>
      </c>
      <c r="I28" s="19" t="n">
        <f aca="false">G28/Assumptions!$B$7</f>
        <v>0.998048684458017</v>
      </c>
    </row>
    <row r="29" customFormat="false" ht="15" hidden="false" customHeight="false" outlineLevel="0" collapsed="false">
      <c r="A29" s="20" t="n">
        <v>6</v>
      </c>
      <c r="B29" s="21" t="n">
        <f aca="false">H28+Assumptions!$B$7</f>
        <v>83.2699299908059</v>
      </c>
      <c r="C29" s="22" t="n">
        <f aca="false">B29/Assumptions!$B$6</f>
        <v>0.0277566433302686</v>
      </c>
      <c r="D29" s="21" t="n">
        <f aca="false">(C29*(Assumptions!$B$10/Assumptions!$B$9))*760/(1+(C29*(Assumptions!$B$10/Assumptions!$B$9)))</f>
        <v>31.4462873307674</v>
      </c>
      <c r="E29" s="23" t="n">
        <f aca="false">1730.63/(8.07131-LOG10(D29))-233.426</f>
        <v>29.8381139348834</v>
      </c>
      <c r="F29" s="21" t="n">
        <f aca="false">MAX(B29-$H$22,0)</f>
        <v>66.634144740967</v>
      </c>
      <c r="G29" s="21" t="n">
        <f aca="false">$B$4*F29</f>
        <v>49.9756085557252</v>
      </c>
      <c r="H29" s="21" t="n">
        <f aca="false">B29-G29</f>
        <v>33.2943214350807</v>
      </c>
      <c r="I29" s="24" t="n">
        <f aca="false">G29/Assumptions!$B$7</f>
        <v>0.999512171114504</v>
      </c>
    </row>
    <row r="30" customFormat="false" ht="15" hidden="false" customHeight="false" outlineLevel="0" collapsed="false">
      <c r="A30" s="8" t="n">
        <v>7</v>
      </c>
      <c r="B30" s="16" t="n">
        <f aca="false">H29+Assumptions!$B$7</f>
        <v>83.2943214350807</v>
      </c>
      <c r="C30" s="17" t="n">
        <f aca="false">B30/Assumptions!$B$6</f>
        <v>0.0277647738116936</v>
      </c>
      <c r="D30" s="16" t="n">
        <f aca="false">(C30*(Assumptions!$B$10/Assumptions!$B$9))*760/(1+(C30*(Assumptions!$B$10/Assumptions!$B$9)))</f>
        <v>31.4551173452366</v>
      </c>
      <c r="E30" s="18" t="n">
        <f aca="false">1730.63/(8.07131-LOG10(D30))-233.426</f>
        <v>29.8429971126649</v>
      </c>
      <c r="F30" s="16" t="n">
        <f aca="false">MAX(B30-$H$22,0)</f>
        <v>66.6585361852417</v>
      </c>
      <c r="G30" s="16" t="n">
        <f aca="false">$B$4*F30</f>
        <v>49.9939021389313</v>
      </c>
      <c r="H30" s="16" t="n">
        <f aca="false">B30-G30</f>
        <v>33.3004192961494</v>
      </c>
      <c r="I30" s="19" t="n">
        <f aca="false">G30/Assumptions!$B$7</f>
        <v>0.999878042778626</v>
      </c>
    </row>
    <row r="31" customFormat="false" ht="15" hidden="false" customHeight="false" outlineLevel="0" collapsed="false">
      <c r="A31" s="20" t="n">
        <v>8</v>
      </c>
      <c r="B31" s="21" t="n">
        <f aca="false">H30+Assumptions!$B$7</f>
        <v>83.3004192961494</v>
      </c>
      <c r="C31" s="22" t="n">
        <f aca="false">B31/Assumptions!$B$6</f>
        <v>0.0277668064320498</v>
      </c>
      <c r="D31" s="21" t="n">
        <f aca="false">(C31*(Assumptions!$B$10/Assumptions!$B$9))*760/(1+(C31*(Assumptions!$B$10/Assumptions!$B$9)))</f>
        <v>31.4573248154106</v>
      </c>
      <c r="E31" s="23" t="n">
        <f aca="false">1730.63/(8.07131-LOG10(D31))-233.426</f>
        <v>29.8442177027313</v>
      </c>
      <c r="F31" s="21" t="n">
        <f aca="false">MAX(B31-$H$22,0)</f>
        <v>66.6646340463104</v>
      </c>
      <c r="G31" s="21" t="n">
        <f aca="false">$B$4*F31</f>
        <v>49.9984755347328</v>
      </c>
      <c r="H31" s="21" t="n">
        <f aca="false">B31-G31</f>
        <v>33.3019437614166</v>
      </c>
      <c r="I31" s="24" t="n">
        <f aca="false">G31/Assumptions!$B$7</f>
        <v>0.999969510694657</v>
      </c>
    </row>
    <row r="32" customFormat="false" ht="15" hidden="false" customHeight="false" outlineLevel="0" collapsed="false">
      <c r="A32" s="8" t="n">
        <v>9</v>
      </c>
      <c r="B32" s="16" t="n">
        <f aca="false">H31+Assumptions!$B$7</f>
        <v>83.3019437614166</v>
      </c>
      <c r="C32" s="17" t="n">
        <f aca="false">B32/Assumptions!$B$6</f>
        <v>0.0277673145871389</v>
      </c>
      <c r="D32" s="16" t="n">
        <f aca="false">(C32*(Assumptions!$B$10/Assumptions!$B$9))*760/(1+(C32*(Assumptions!$B$10/Assumptions!$B$9)))</f>
        <v>31.4578766808639</v>
      </c>
      <c r="E32" s="18" t="n">
        <f aca="false">1730.63/(8.07131-LOG10(D32))-233.426</f>
        <v>29.8445228374773</v>
      </c>
      <c r="F32" s="16" t="n">
        <f aca="false">MAX(B32-$H$22,0)</f>
        <v>66.6661585115776</v>
      </c>
      <c r="G32" s="16" t="n">
        <f aca="false">$B$4*F32</f>
        <v>49.9996188836832</v>
      </c>
      <c r="H32" s="16" t="n">
        <f aca="false">B32-G32</f>
        <v>33.3023248777334</v>
      </c>
      <c r="I32" s="19" t="n">
        <f aca="false">G32/Assumptions!$B$7</f>
        <v>0.999992377673664</v>
      </c>
    </row>
    <row r="33" customFormat="false" ht="15" hidden="false" customHeight="false" outlineLevel="0" collapsed="false">
      <c r="A33" s="20" t="n">
        <v>10</v>
      </c>
      <c r="B33" s="21" t="n">
        <f aca="false">H32+Assumptions!$B$7</f>
        <v>83.3023248777334</v>
      </c>
      <c r="C33" s="22" t="n">
        <f aca="false">B33/Assumptions!$B$6</f>
        <v>0.0277674416259111</v>
      </c>
      <c r="D33" s="21" t="n">
        <f aca="false">(C33*(Assumptions!$B$10/Assumptions!$B$9))*760/(1+(C33*(Assumptions!$B$10/Assumptions!$B$9)))</f>
        <v>31.4580146470966</v>
      </c>
      <c r="E33" s="23" t="n">
        <f aca="false">1730.63/(8.07131-LOG10(D33))-233.426</f>
        <v>29.8445991203656</v>
      </c>
      <c r="F33" s="21" t="n">
        <f aca="false">MAX(B33-$H$22,0)</f>
        <v>66.6665396278944</v>
      </c>
      <c r="G33" s="21" t="n">
        <f aca="false">$B$4*F33</f>
        <v>49.9999047209208</v>
      </c>
      <c r="H33" s="21" t="n">
        <f aca="false">B33-G33</f>
        <v>33.3024201568126</v>
      </c>
      <c r="I33" s="24" t="n">
        <f aca="false">G33/Assumptions!$B$7</f>
        <v>0.999998094418416</v>
      </c>
    </row>
    <row r="34" customFormat="false" ht="15" hidden="false" customHeight="false" outlineLevel="0" collapsed="false">
      <c r="A34" s="8" t="n">
        <v>11</v>
      </c>
      <c r="B34" s="16" t="n">
        <f aca="false">H33+Assumptions!$B$7</f>
        <v>83.3024201568126</v>
      </c>
      <c r="C34" s="17" t="n">
        <f aca="false">B34/Assumptions!$B$6</f>
        <v>0.0277674733856042</v>
      </c>
      <c r="D34" s="16" t="n">
        <f aca="false">(C34*(Assumptions!$B$10/Assumptions!$B$9))*760/(1+(C34*(Assumptions!$B$10/Assumptions!$B$9)))</f>
        <v>31.4580491386466</v>
      </c>
      <c r="E34" s="18" t="n">
        <f aca="false">1730.63/(8.07131-LOG10(D34))-233.426</f>
        <v>29.8446181910379</v>
      </c>
      <c r="F34" s="16" t="n">
        <f aca="false">MAX(B34-$H$22,0)</f>
        <v>66.6666349069736</v>
      </c>
      <c r="G34" s="16" t="n">
        <f aca="false">$B$4*F34</f>
        <v>49.9999761802302</v>
      </c>
      <c r="H34" s="16" t="n">
        <f aca="false">B34-G34</f>
        <v>33.3024439765824</v>
      </c>
      <c r="I34" s="19" t="n">
        <f aca="false">G34/Assumptions!$B$7</f>
        <v>0.999999523604604</v>
      </c>
    </row>
    <row r="35" customFormat="false" ht="15" hidden="false" customHeight="false" outlineLevel="0" collapsed="false">
      <c r="A35" s="20" t="n">
        <v>12</v>
      </c>
      <c r="B35" s="21" t="n">
        <f aca="false">H34+Assumptions!$B$7</f>
        <v>83.3024439765824</v>
      </c>
      <c r="C35" s="22" t="n">
        <f aca="false">B35/Assumptions!$B$6</f>
        <v>0.0277674813255275</v>
      </c>
      <c r="D35" s="21" t="n">
        <f aca="false">(C35*(Assumptions!$B$10/Assumptions!$B$9))*760/(1+(C35*(Assumptions!$B$10/Assumptions!$B$9)))</f>
        <v>31.4580577615336</v>
      </c>
      <c r="E35" s="23" t="n">
        <f aca="false">1730.63/(8.07131-LOG10(D35))-233.426</f>
        <v>29.8446229587028</v>
      </c>
      <c r="F35" s="21" t="n">
        <f aca="false">MAX(B35-$H$22,0)</f>
        <v>66.6666587267434</v>
      </c>
      <c r="G35" s="21" t="n">
        <f aca="false">$B$4*F35</f>
        <v>49.9999940450576</v>
      </c>
      <c r="H35" s="21" t="n">
        <f aca="false">B35-G35</f>
        <v>33.3024499315248</v>
      </c>
      <c r="I35" s="24" t="n">
        <f aca="false">G35/Assumptions!$B$7</f>
        <v>0.999999880901151</v>
      </c>
    </row>
    <row r="38" customFormat="false" ht="15" hidden="false" customHeight="false" outlineLevel="0" collapsed="false">
      <c r="A38" s="4" t="s">
        <v>54</v>
      </c>
      <c r="B38" s="4"/>
      <c r="C38" s="4"/>
      <c r="D38" s="4"/>
      <c r="E38" s="13" t="s">
        <v>42</v>
      </c>
      <c r="F38" s="14" t="n">
        <f aca="false">IF(0&gt;=0,10^(8.07131-1730.63/(233.426+0)),6.1115*EXP(22.452*0/(272.55+0))*0.750062)</f>
        <v>4.54222579459308</v>
      </c>
      <c r="G38" s="13" t="s">
        <v>43</v>
      </c>
      <c r="H38" s="15" t="n">
        <f aca="false">(($F$38)/(760-$F$38))*(Assumptions!$B$9/Assumptions!$B$10)*Assumptions!$B$6</f>
        <v>11.5994907085499</v>
      </c>
    </row>
    <row r="39" customFormat="false" ht="39.75" hidden="false" customHeight="true" outlineLevel="0" collapsed="false">
      <c r="A39" s="5" t="s">
        <v>44</v>
      </c>
      <c r="B39" s="5" t="s">
        <v>45</v>
      </c>
      <c r="C39" s="5" t="s">
        <v>46</v>
      </c>
      <c r="D39" s="5" t="s">
        <v>47</v>
      </c>
      <c r="E39" s="5" t="s">
        <v>48</v>
      </c>
      <c r="F39" s="5" t="s">
        <v>49</v>
      </c>
      <c r="G39" s="5" t="s">
        <v>50</v>
      </c>
      <c r="H39" s="5" t="s">
        <v>51</v>
      </c>
      <c r="I39" s="5" t="s">
        <v>52</v>
      </c>
    </row>
    <row r="40" customFormat="false" ht="15" hidden="false" customHeight="false" outlineLevel="0" collapsed="false">
      <c r="A40" s="8" t="n">
        <v>1</v>
      </c>
      <c r="B40" s="16" t="n">
        <f aca="false">Assumptions!$B$7</f>
        <v>50</v>
      </c>
      <c r="C40" s="17" t="n">
        <f aca="false">B40/Assumptions!$B$6</f>
        <v>0.0166666666666667</v>
      </c>
      <c r="D40" s="16" t="n">
        <f aca="false">(C40*(Assumptions!$B$10/Assumptions!$B$9))*760/(1+(C40*(Assumptions!$B$10/Assumptions!$B$9)))</f>
        <v>19.1995411727149</v>
      </c>
      <c r="E40" s="18" t="n">
        <f aca="false">1730.63/(8.07131-LOG10(D40))-233.426</f>
        <v>21.5276119140316</v>
      </c>
      <c r="F40" s="16" t="n">
        <f aca="false">MAX(B40-$H$38,0)</f>
        <v>38.4005092914501</v>
      </c>
      <c r="G40" s="16" t="n">
        <f aca="false">$B$4*F40</f>
        <v>28.8003819685876</v>
      </c>
      <c r="H40" s="16" t="n">
        <f aca="false">B40-G40</f>
        <v>21.1996180314124</v>
      </c>
      <c r="I40" s="19" t="n">
        <f aca="false">G40/Assumptions!$B$7</f>
        <v>0.576007639371752</v>
      </c>
    </row>
    <row r="41" customFormat="false" ht="15" hidden="false" customHeight="false" outlineLevel="0" collapsed="false">
      <c r="A41" s="20" t="n">
        <v>2</v>
      </c>
      <c r="B41" s="21" t="n">
        <f aca="false">H40+Assumptions!$B$7</f>
        <v>71.1996180314124</v>
      </c>
      <c r="C41" s="22" t="n">
        <f aca="false">B41/Assumptions!$B$6</f>
        <v>0.0237332060104708</v>
      </c>
      <c r="D41" s="21" t="n">
        <f aca="false">(C41*(Assumptions!$B$10/Assumptions!$B$9))*760/(1+(C41*(Assumptions!$B$10/Assumptions!$B$9)))</f>
        <v>27.0502610949329</v>
      </c>
      <c r="E41" s="23" t="n">
        <f aca="false">1730.63/(8.07131-LOG10(D41))-233.426</f>
        <v>27.244867150816</v>
      </c>
      <c r="F41" s="21" t="n">
        <f aca="false">MAX(B41-$H$38,0)</f>
        <v>59.6001273228625</v>
      </c>
      <c r="G41" s="21" t="n">
        <f aca="false">$B$4*F41</f>
        <v>44.7000954921469</v>
      </c>
      <c r="H41" s="21" t="n">
        <f aca="false">B41-G41</f>
        <v>26.4995225392655</v>
      </c>
      <c r="I41" s="24" t="n">
        <f aca="false">G41/Assumptions!$B$7</f>
        <v>0.894001909842938</v>
      </c>
    </row>
    <row r="42" customFormat="false" ht="15" hidden="false" customHeight="false" outlineLevel="0" collapsed="false">
      <c r="A42" s="8" t="n">
        <v>3</v>
      </c>
      <c r="B42" s="16" t="n">
        <f aca="false">H41+Assumptions!$B$7</f>
        <v>76.4995225392655</v>
      </c>
      <c r="C42" s="17" t="n">
        <f aca="false">B42/Assumptions!$B$6</f>
        <v>0.0254998408464218</v>
      </c>
      <c r="D42" s="16" t="n">
        <f aca="false">(C42*(Assumptions!$B$10/Assumptions!$B$9))*760/(1+(C42*(Assumptions!$B$10/Assumptions!$B$9)))</f>
        <v>28.9870101124064</v>
      </c>
      <c r="E42" s="18" t="n">
        <f aca="false">1730.63/(8.07131-LOG10(D42))-233.426</f>
        <v>28.4293626850656</v>
      </c>
      <c r="F42" s="16" t="n">
        <f aca="false">MAX(B42-$H$38,0)</f>
        <v>64.9000318307157</v>
      </c>
      <c r="G42" s="16" t="n">
        <f aca="false">$B$4*F42</f>
        <v>48.6750238730367</v>
      </c>
      <c r="H42" s="16" t="n">
        <f aca="false">B42-G42</f>
        <v>27.8244986662288</v>
      </c>
      <c r="I42" s="19" t="n">
        <f aca="false">G42/Assumptions!$B$7</f>
        <v>0.973500477460735</v>
      </c>
    </row>
    <row r="43" customFormat="false" ht="15" hidden="false" customHeight="false" outlineLevel="0" collapsed="false">
      <c r="A43" s="20" t="n">
        <v>4</v>
      </c>
      <c r="B43" s="21" t="n">
        <f aca="false">H42+Assumptions!$B$7</f>
        <v>77.8244986662288</v>
      </c>
      <c r="C43" s="22" t="n">
        <f aca="false">B43/Assumptions!$B$6</f>
        <v>0.0259414995554096</v>
      </c>
      <c r="D43" s="21" t="n">
        <f aca="false">(C43*(Assumptions!$B$10/Assumptions!$B$9))*760/(1+(C43*(Assumptions!$B$10/Assumptions!$B$9)))</f>
        <v>29.4695991498875</v>
      </c>
      <c r="E43" s="23" t="n">
        <f aca="false">1730.63/(8.07131-LOG10(D43))-233.426</f>
        <v>28.7137814083063</v>
      </c>
      <c r="F43" s="21" t="n">
        <f aca="false">MAX(B43-$H$38,0)</f>
        <v>66.2250079576789</v>
      </c>
      <c r="G43" s="21" t="n">
        <f aca="false">$B$4*F43</f>
        <v>49.6687559682592</v>
      </c>
      <c r="H43" s="21" t="n">
        <f aca="false">B43-G43</f>
        <v>28.1557426979696</v>
      </c>
      <c r="I43" s="24" t="n">
        <f aca="false">G43/Assumptions!$B$7</f>
        <v>0.993375119365184</v>
      </c>
    </row>
    <row r="44" customFormat="false" ht="15" hidden="false" customHeight="false" outlineLevel="0" collapsed="false">
      <c r="A44" s="8" t="n">
        <v>5</v>
      </c>
      <c r="B44" s="16" t="n">
        <f aca="false">H43+Assumptions!$B$7</f>
        <v>78.1557426979696</v>
      </c>
      <c r="C44" s="17" t="n">
        <f aca="false">B44/Assumptions!$B$6</f>
        <v>0.0260519142326565</v>
      </c>
      <c r="D44" s="16" t="n">
        <f aca="false">(C44*(Assumptions!$B$10/Assumptions!$B$9))*760/(1+(C44*(Assumptions!$B$10/Assumptions!$B$9)))</f>
        <v>29.5901468668454</v>
      </c>
      <c r="E44" s="18" t="n">
        <f aca="false">1730.63/(8.07131-LOG10(D44))-233.426</f>
        <v>28.7841956658765</v>
      </c>
      <c r="F44" s="16" t="n">
        <f aca="false">MAX(B44-$H$38,0)</f>
        <v>66.5562519894197</v>
      </c>
      <c r="G44" s="16" t="n">
        <f aca="false">$B$4*F44</f>
        <v>49.9171889920648</v>
      </c>
      <c r="H44" s="16" t="n">
        <f aca="false">B44-G44</f>
        <v>28.2385537059048</v>
      </c>
      <c r="I44" s="19" t="n">
        <f aca="false">G44/Assumptions!$B$7</f>
        <v>0.998343779841296</v>
      </c>
    </row>
    <row r="45" customFormat="false" ht="15" hidden="false" customHeight="false" outlineLevel="0" collapsed="false">
      <c r="A45" s="20" t="n">
        <v>6</v>
      </c>
      <c r="B45" s="21" t="n">
        <f aca="false">H44+Assumptions!$B$7</f>
        <v>78.2385537059048</v>
      </c>
      <c r="C45" s="22" t="n">
        <f aca="false">B45/Assumptions!$B$6</f>
        <v>0.0260795179019683</v>
      </c>
      <c r="D45" s="21" t="n">
        <f aca="false">(C45*(Assumptions!$B$10/Assumptions!$B$9))*760/(1+(C45*(Assumptions!$B$10/Assumptions!$B$9)))</f>
        <v>29.6202775800737</v>
      </c>
      <c r="E45" s="23" t="n">
        <f aca="false">1730.63/(8.07131-LOG10(D45))-233.426</f>
        <v>28.8017566798554</v>
      </c>
      <c r="F45" s="21" t="n">
        <f aca="false">MAX(B45-$H$38,0)</f>
        <v>66.6390629973549</v>
      </c>
      <c r="G45" s="21" t="n">
        <f aca="false">$B$4*F45</f>
        <v>49.9792972480162</v>
      </c>
      <c r="H45" s="21" t="n">
        <f aca="false">B45-G45</f>
        <v>28.2592564578886</v>
      </c>
      <c r="I45" s="24" t="n">
        <f aca="false">G45/Assumptions!$B$7</f>
        <v>0.999585944960324</v>
      </c>
    </row>
    <row r="46" customFormat="false" ht="15" hidden="false" customHeight="false" outlineLevel="0" collapsed="false">
      <c r="A46" s="8" t="n">
        <v>7</v>
      </c>
      <c r="B46" s="16" t="n">
        <f aca="false">H45+Assumptions!$B$7</f>
        <v>78.2592564578886</v>
      </c>
      <c r="C46" s="17" t="n">
        <f aca="false">B46/Assumptions!$B$6</f>
        <v>0.0260864188192962</v>
      </c>
      <c r="D46" s="16" t="n">
        <f aca="false">(C46*(Assumptions!$B$10/Assumptions!$B$9))*760/(1+(C46*(Assumptions!$B$10/Assumptions!$B$9)))</f>
        <v>29.6278098699642</v>
      </c>
      <c r="E46" s="18" t="n">
        <f aca="false">1730.63/(8.07131-LOG10(D46))-233.426</f>
        <v>28.8061442831882</v>
      </c>
      <c r="F46" s="16" t="n">
        <f aca="false">MAX(B46-$H$38,0)</f>
        <v>66.6597657493387</v>
      </c>
      <c r="G46" s="16" t="n">
        <f aca="false">$B$4*F46</f>
        <v>49.9948243120041</v>
      </c>
      <c r="H46" s="16" t="n">
        <f aca="false">B46-G46</f>
        <v>28.2644321458845</v>
      </c>
      <c r="I46" s="19" t="n">
        <f aca="false">G46/Assumptions!$B$7</f>
        <v>0.999896486240081</v>
      </c>
    </row>
    <row r="47" customFormat="false" ht="15" hidden="false" customHeight="false" outlineLevel="0" collapsed="false">
      <c r="A47" s="20" t="n">
        <v>8</v>
      </c>
      <c r="B47" s="21" t="n">
        <f aca="false">H46+Assumptions!$B$7</f>
        <v>78.2644321458845</v>
      </c>
      <c r="C47" s="22" t="n">
        <f aca="false">B47/Assumptions!$B$6</f>
        <v>0.0260881440486282</v>
      </c>
      <c r="D47" s="21" t="n">
        <f aca="false">(C47*(Assumptions!$B$10/Assumptions!$B$9))*760/(1+(C47*(Assumptions!$B$10/Assumptions!$B$9)))</f>
        <v>29.6296929181621</v>
      </c>
      <c r="E47" s="23" t="n">
        <f aca="false">1730.63/(8.07131-LOG10(D47))-233.426</f>
        <v>28.8072410185301</v>
      </c>
      <c r="F47" s="21" t="n">
        <f aca="false">MAX(B47-$H$38,0)</f>
        <v>66.6649414373347</v>
      </c>
      <c r="G47" s="21" t="n">
        <f aca="false">$B$4*F47</f>
        <v>49.998706078001</v>
      </c>
      <c r="H47" s="21" t="n">
        <f aca="false">B47-G47</f>
        <v>28.2657260678835</v>
      </c>
      <c r="I47" s="24" t="n">
        <f aca="false">G47/Assumptions!$B$7</f>
        <v>0.99997412156002</v>
      </c>
    </row>
    <row r="48" customFormat="false" ht="15" hidden="false" customHeight="false" outlineLevel="0" collapsed="false">
      <c r="A48" s="8" t="n">
        <v>9</v>
      </c>
      <c r="B48" s="16" t="n">
        <f aca="false">H47+Assumptions!$B$7</f>
        <v>78.2657260678835</v>
      </c>
      <c r="C48" s="17" t="n">
        <f aca="false">B48/Assumptions!$B$6</f>
        <v>0.0260885753559612</v>
      </c>
      <c r="D48" s="16" t="n">
        <f aca="false">(C48*(Assumptions!$B$10/Assumptions!$B$9))*760/(1+(C48*(Assumptions!$B$10/Assumptions!$B$9)))</f>
        <v>29.6301636786944</v>
      </c>
      <c r="E48" s="18" t="n">
        <f aca="false">1730.63/(8.07131-LOG10(D48))-233.426</f>
        <v>28.8075151920246</v>
      </c>
      <c r="F48" s="16" t="n">
        <f aca="false">MAX(B48-$H$38,0)</f>
        <v>66.6662353593337</v>
      </c>
      <c r="G48" s="16" t="n">
        <f aca="false">$B$4*F48</f>
        <v>49.9996765195002</v>
      </c>
      <c r="H48" s="16" t="n">
        <f aca="false">B48-G48</f>
        <v>28.2660495483833</v>
      </c>
      <c r="I48" s="19" t="n">
        <f aca="false">G48/Assumptions!$B$7</f>
        <v>0.999993530390005</v>
      </c>
    </row>
    <row r="49" customFormat="false" ht="15" hidden="false" customHeight="false" outlineLevel="0" collapsed="false">
      <c r="A49" s="20" t="n">
        <v>10</v>
      </c>
      <c r="B49" s="21" t="n">
        <f aca="false">H48+Assumptions!$B$7</f>
        <v>78.2660495483833</v>
      </c>
      <c r="C49" s="22" t="n">
        <f aca="false">B49/Assumptions!$B$6</f>
        <v>0.0260886831827944</v>
      </c>
      <c r="D49" s="21" t="n">
        <f aca="false">(C49*(Assumptions!$B$10/Assumptions!$B$9))*760/(1+(C49*(Assumptions!$B$10/Assumptions!$B$9)))</f>
        <v>29.6302813687327</v>
      </c>
      <c r="E49" s="23" t="n">
        <f aca="false">1730.63/(8.07131-LOG10(D49))-233.426</f>
        <v>28.807583734752</v>
      </c>
      <c r="F49" s="21" t="n">
        <f aca="false">MAX(B49-$H$38,0)</f>
        <v>66.6665588398334</v>
      </c>
      <c r="G49" s="21" t="n">
        <f aca="false">$B$4*F49</f>
        <v>49.9999191298751</v>
      </c>
      <c r="H49" s="21" t="n">
        <f aca="false">B49-G49</f>
        <v>28.2661304185082</v>
      </c>
      <c r="I49" s="24" t="n">
        <f aca="false">G49/Assumptions!$B$7</f>
        <v>0.999998382597501</v>
      </c>
    </row>
    <row r="50" customFormat="false" ht="15" hidden="false" customHeight="false" outlineLevel="0" collapsed="false">
      <c r="A50" s="8" t="n">
        <v>11</v>
      </c>
      <c r="B50" s="16" t="n">
        <f aca="false">H49+Assumptions!$B$7</f>
        <v>78.2661304185082</v>
      </c>
      <c r="C50" s="17" t="n">
        <f aca="false">B50/Assumptions!$B$6</f>
        <v>0.0260887101395027</v>
      </c>
      <c r="D50" s="16" t="n">
        <f aca="false">(C50*(Assumptions!$B$10/Assumptions!$B$9))*760/(1+(C50*(Assumptions!$B$10/Assumptions!$B$9)))</f>
        <v>29.6303107912363</v>
      </c>
      <c r="E50" s="18" t="n">
        <f aca="false">1730.63/(8.07131-LOG10(D50))-233.426</f>
        <v>28.8076008703933</v>
      </c>
      <c r="F50" s="16" t="n">
        <f aca="false">MAX(B50-$H$38,0)</f>
        <v>66.6666397099584</v>
      </c>
      <c r="G50" s="16" t="n">
        <f aca="false">$B$4*F50</f>
        <v>49.9999797824688</v>
      </c>
      <c r="H50" s="16" t="n">
        <f aca="false">B50-G50</f>
        <v>28.2661506360395</v>
      </c>
      <c r="I50" s="19" t="n">
        <f aca="false">G50/Assumptions!$B$7</f>
        <v>0.999999595649376</v>
      </c>
    </row>
    <row r="51" customFormat="false" ht="15" hidden="false" customHeight="false" outlineLevel="0" collapsed="false">
      <c r="A51" s="20" t="n">
        <v>12</v>
      </c>
      <c r="B51" s="21" t="n">
        <f aca="false">H50+Assumptions!$B$7</f>
        <v>78.2661506360395</v>
      </c>
      <c r="C51" s="22" t="n">
        <f aca="false">B51/Assumptions!$B$6</f>
        <v>0.0260887168786798</v>
      </c>
      <c r="D51" s="21" t="n">
        <f aca="false">(C51*(Assumptions!$B$10/Assumptions!$B$9))*760/(1+(C51*(Assumptions!$B$10/Assumptions!$B$9)))</f>
        <v>29.6303181468619</v>
      </c>
      <c r="E51" s="23" t="n">
        <f aca="false">1730.63/(8.07131-LOG10(D51))-233.426</f>
        <v>28.8076051543013</v>
      </c>
      <c r="F51" s="21" t="n">
        <f aca="false">MAX(B51-$H$38,0)</f>
        <v>66.6666599274896</v>
      </c>
      <c r="G51" s="21" t="n">
        <f aca="false">$B$4*F51</f>
        <v>49.9999949456172</v>
      </c>
      <c r="H51" s="21" t="n">
        <f aca="false">B51-G51</f>
        <v>28.2661556904223</v>
      </c>
      <c r="I51" s="24" t="n">
        <f aca="false">G51/Assumptions!$B$7</f>
        <v>0.999999898912344</v>
      </c>
    </row>
    <row r="54" customFormat="false" ht="15" hidden="false" customHeight="false" outlineLevel="0" collapsed="false">
      <c r="A54" s="4" t="s">
        <v>55</v>
      </c>
      <c r="B54" s="4"/>
      <c r="C54" s="4"/>
      <c r="D54" s="4"/>
      <c r="E54" s="13" t="s">
        <v>42</v>
      </c>
      <c r="F54" s="14" t="n">
        <f aca="false">IF(-5&gt;=0,10^(8.07131-1730.63/(233.426+-5)),6.1115*EXP(22.452*-5/(272.55+-5))*0.750062)</f>
        <v>3.01315501864773</v>
      </c>
      <c r="G54" s="13" t="s">
        <v>43</v>
      </c>
      <c r="H54" s="15" t="n">
        <f aca="false">(($F$54)/(760-$F$54))*(Assumptions!$B$9/Assumptions!$B$10)*Assumptions!$B$6</f>
        <v>7.67915688040787</v>
      </c>
    </row>
    <row r="55" customFormat="false" ht="39.75" hidden="false" customHeight="true" outlineLevel="0" collapsed="false">
      <c r="A55" s="5" t="s">
        <v>44</v>
      </c>
      <c r="B55" s="5" t="s">
        <v>45</v>
      </c>
      <c r="C55" s="5" t="s">
        <v>46</v>
      </c>
      <c r="D55" s="5" t="s">
        <v>47</v>
      </c>
      <c r="E55" s="5" t="s">
        <v>48</v>
      </c>
      <c r="F55" s="5" t="s">
        <v>49</v>
      </c>
      <c r="G55" s="5" t="s">
        <v>50</v>
      </c>
      <c r="H55" s="5" t="s">
        <v>51</v>
      </c>
      <c r="I55" s="5" t="s">
        <v>52</v>
      </c>
    </row>
    <row r="56" customFormat="false" ht="15" hidden="false" customHeight="false" outlineLevel="0" collapsed="false">
      <c r="A56" s="8" t="n">
        <v>1</v>
      </c>
      <c r="B56" s="16" t="n">
        <f aca="false">Assumptions!$B$7</f>
        <v>50</v>
      </c>
      <c r="C56" s="17" t="n">
        <f aca="false">B56/Assumptions!$B$6</f>
        <v>0.0166666666666667</v>
      </c>
      <c r="D56" s="16" t="n">
        <f aca="false">(C56*(Assumptions!$B$10/Assumptions!$B$9))*760/(1+(C56*(Assumptions!$B$10/Assumptions!$B$9)))</f>
        <v>19.1995411727149</v>
      </c>
      <c r="E56" s="18" t="n">
        <f aca="false">1730.63/(8.07131-LOG10(D56))-233.426</f>
        <v>21.5276119140316</v>
      </c>
      <c r="F56" s="16" t="n">
        <f aca="false">MAX(B56-$H$54,0)</f>
        <v>42.3208431195921</v>
      </c>
      <c r="G56" s="16" t="n">
        <f aca="false">$B$4*F56</f>
        <v>31.7406323396941</v>
      </c>
      <c r="H56" s="16" t="n">
        <f aca="false">B56-G56</f>
        <v>18.2593676603059</v>
      </c>
      <c r="I56" s="19" t="n">
        <f aca="false">G56/Assumptions!$B$7</f>
        <v>0.634812646793882</v>
      </c>
    </row>
    <row r="57" customFormat="false" ht="15" hidden="false" customHeight="false" outlineLevel="0" collapsed="false">
      <c r="A57" s="20" t="n">
        <v>2</v>
      </c>
      <c r="B57" s="21" t="n">
        <f aca="false">H56+Assumptions!$B$7</f>
        <v>68.2593676603059</v>
      </c>
      <c r="C57" s="22" t="n">
        <f aca="false">B57/Assumptions!$B$6</f>
        <v>0.0227531225534353</v>
      </c>
      <c r="D57" s="21" t="n">
        <f aca="false">(C57*(Assumptions!$B$10/Assumptions!$B$9))*760/(1+(C57*(Assumptions!$B$10/Assumptions!$B$9)))</f>
        <v>25.9713702245625</v>
      </c>
      <c r="E57" s="23" t="n">
        <f aca="false">1730.63/(8.07131-LOG10(D57))-233.426</f>
        <v>26.5526781566391</v>
      </c>
      <c r="F57" s="21" t="n">
        <f aca="false">MAX(B57-$H$54,0)</f>
        <v>60.580210779898</v>
      </c>
      <c r="G57" s="21" t="n">
        <f aca="false">$B$4*F57</f>
        <v>45.4351580849235</v>
      </c>
      <c r="H57" s="21" t="n">
        <f aca="false">B57-G57</f>
        <v>22.8242095753824</v>
      </c>
      <c r="I57" s="24" t="n">
        <f aca="false">G57/Assumptions!$B$7</f>
        <v>0.908703161698471</v>
      </c>
    </row>
    <row r="58" customFormat="false" ht="15" hidden="false" customHeight="false" outlineLevel="0" collapsed="false">
      <c r="A58" s="8" t="n">
        <v>3</v>
      </c>
      <c r="B58" s="16" t="n">
        <f aca="false">H57+Assumptions!$B$7</f>
        <v>72.8242095753824</v>
      </c>
      <c r="C58" s="17" t="n">
        <f aca="false">B58/Assumptions!$B$6</f>
        <v>0.0242747365251275</v>
      </c>
      <c r="D58" s="16" t="n">
        <f aca="false">(C58*(Assumptions!$B$10/Assumptions!$B$9))*760/(1+(C58*(Assumptions!$B$10/Assumptions!$B$9)))</f>
        <v>27.6450269507648</v>
      </c>
      <c r="E58" s="18" t="n">
        <f aca="false">1730.63/(8.07131-LOG10(D58))-233.426</f>
        <v>27.6162540848783</v>
      </c>
      <c r="F58" s="16" t="n">
        <f aca="false">MAX(B58-$H$54,0)</f>
        <v>65.1450526949745</v>
      </c>
      <c r="G58" s="16" t="n">
        <f aca="false">$B$4*F58</f>
        <v>48.8587895212309</v>
      </c>
      <c r="H58" s="16" t="n">
        <f aca="false">B58-G58</f>
        <v>23.9654200541515</v>
      </c>
      <c r="I58" s="19" t="n">
        <f aca="false">G58/Assumptions!$B$7</f>
        <v>0.977175790424618</v>
      </c>
    </row>
    <row r="59" customFormat="false" ht="15" hidden="false" customHeight="false" outlineLevel="0" collapsed="false">
      <c r="A59" s="20" t="n">
        <v>4</v>
      </c>
      <c r="B59" s="21" t="n">
        <f aca="false">H58+Assumptions!$B$7</f>
        <v>73.9654200541515</v>
      </c>
      <c r="C59" s="22" t="n">
        <f aca="false">B59/Assumptions!$B$6</f>
        <v>0.0246551400180505</v>
      </c>
      <c r="D59" s="21" t="n">
        <f aca="false">(C59*(Assumptions!$B$10/Assumptions!$B$9))*760/(1+(C59*(Assumptions!$B$10/Assumptions!$B$9)))</f>
        <v>28.062249280372</v>
      </c>
      <c r="E59" s="23" t="n">
        <f aca="false">1730.63/(8.07131-LOG10(D59))-233.426</f>
        <v>27.8726563197373</v>
      </c>
      <c r="F59" s="21" t="n">
        <f aca="false">MAX(B59-$H$54,0)</f>
        <v>66.2862631737436</v>
      </c>
      <c r="G59" s="21" t="n">
        <f aca="false">$B$4*F59</f>
        <v>49.7146973803077</v>
      </c>
      <c r="H59" s="21" t="n">
        <f aca="false">B59-G59</f>
        <v>24.2507226738438</v>
      </c>
      <c r="I59" s="24" t="n">
        <f aca="false">G59/Assumptions!$B$7</f>
        <v>0.994293947606155</v>
      </c>
    </row>
    <row r="60" customFormat="false" ht="15" hidden="false" customHeight="false" outlineLevel="0" collapsed="false">
      <c r="A60" s="8" t="n">
        <v>5</v>
      </c>
      <c r="B60" s="16" t="n">
        <f aca="false">H59+Assumptions!$B$7</f>
        <v>74.2507226738438</v>
      </c>
      <c r="C60" s="17" t="n">
        <f aca="false">B60/Assumptions!$B$6</f>
        <v>0.0247502408912813</v>
      </c>
      <c r="D60" s="16" t="n">
        <f aca="false">(C60*(Assumptions!$B$10/Assumptions!$B$9))*760/(1+(C60*(Assumptions!$B$10/Assumptions!$B$9)))</f>
        <v>28.1664805947917</v>
      </c>
      <c r="E60" s="18" t="n">
        <f aca="false">1730.63/(8.07131-LOG10(D60))-233.426</f>
        <v>27.9361938692228</v>
      </c>
      <c r="F60" s="16" t="n">
        <f aca="false">MAX(B60-$H$54,0)</f>
        <v>66.5715657934359</v>
      </c>
      <c r="G60" s="16" t="n">
        <f aca="false">$B$4*F60</f>
        <v>49.9286743450769</v>
      </c>
      <c r="H60" s="16" t="n">
        <f aca="false">B60-G60</f>
        <v>24.3220483287669</v>
      </c>
      <c r="I60" s="19" t="n">
        <f aca="false">G60/Assumptions!$B$7</f>
        <v>0.998573486901539</v>
      </c>
    </row>
    <row r="61" customFormat="false" ht="15" hidden="false" customHeight="false" outlineLevel="0" collapsed="false">
      <c r="A61" s="20" t="n">
        <v>6</v>
      </c>
      <c r="B61" s="21" t="n">
        <f aca="false">H60+Assumptions!$B$7</f>
        <v>74.3220483287669</v>
      </c>
      <c r="C61" s="22" t="n">
        <f aca="false">B61/Assumptions!$B$6</f>
        <v>0.024774016109589</v>
      </c>
      <c r="D61" s="21" t="n">
        <f aca="false">(C61*(Assumptions!$B$10/Assumptions!$B$9))*760/(1+(C61*(Assumptions!$B$10/Assumptions!$B$9)))</f>
        <v>28.1925337851179</v>
      </c>
      <c r="E61" s="23" t="n">
        <f aca="false">1730.63/(8.07131-LOG10(D61))-233.426</f>
        <v>27.9520435128791</v>
      </c>
      <c r="F61" s="21" t="n">
        <f aca="false">MAX(B61-$H$54,0)</f>
        <v>66.642891448359</v>
      </c>
      <c r="G61" s="21" t="n">
        <f aca="false">$B$4*F61</f>
        <v>49.9821685862692</v>
      </c>
      <c r="H61" s="21" t="n">
        <f aca="false">B61-G61</f>
        <v>24.3398797424976</v>
      </c>
      <c r="I61" s="24" t="n">
        <f aca="false">G61/Assumptions!$B$7</f>
        <v>0.999643371725385</v>
      </c>
    </row>
    <row r="62" customFormat="false" ht="15" hidden="false" customHeight="false" outlineLevel="0" collapsed="false">
      <c r="A62" s="8" t="n">
        <v>7</v>
      </c>
      <c r="B62" s="16" t="n">
        <f aca="false">H61+Assumptions!$B$7</f>
        <v>74.3398797424976</v>
      </c>
      <c r="C62" s="17" t="n">
        <f aca="false">B62/Assumptions!$B$6</f>
        <v>0.0247799599141659</v>
      </c>
      <c r="D62" s="16" t="n">
        <f aca="false">(C62*(Assumptions!$B$10/Assumptions!$B$9))*760/(1+(C62*(Assumptions!$B$10/Assumptions!$B$9)))</f>
        <v>28.1990467928612</v>
      </c>
      <c r="E62" s="18" t="n">
        <f aca="false">1730.63/(8.07131-LOG10(D62))-233.426</f>
        <v>27.9560037591521</v>
      </c>
      <c r="F62" s="16" t="n">
        <f aca="false">MAX(B62-$H$54,0)</f>
        <v>66.6607228620897</v>
      </c>
      <c r="G62" s="16" t="n">
        <f aca="false">$B$4*F62</f>
        <v>49.9955421465673</v>
      </c>
      <c r="H62" s="16" t="n">
        <f aca="false">B62-G62</f>
        <v>24.3443375959303</v>
      </c>
      <c r="I62" s="19" t="n">
        <f aca="false">G62/Assumptions!$B$7</f>
        <v>0.999910842931346</v>
      </c>
    </row>
    <row r="63" customFormat="false" ht="15" hidden="false" customHeight="false" outlineLevel="0" collapsed="false">
      <c r="A63" s="20" t="n">
        <v>8</v>
      </c>
      <c r="B63" s="21" t="n">
        <f aca="false">H62+Assumptions!$B$7</f>
        <v>74.3443375959303</v>
      </c>
      <c r="C63" s="22" t="n">
        <f aca="false">B63/Assumptions!$B$6</f>
        <v>0.0247814458653101</v>
      </c>
      <c r="D63" s="21" t="n">
        <f aca="false">(C63*(Assumptions!$B$10/Assumptions!$B$9))*760/(1+(C63*(Assumptions!$B$10/Assumptions!$B$9)))</f>
        <v>28.200675026683</v>
      </c>
      <c r="E63" s="23" t="n">
        <f aca="false">1730.63/(8.07131-LOG10(D63))-233.426</f>
        <v>27.9569936855368</v>
      </c>
      <c r="F63" s="21" t="n">
        <f aca="false">MAX(B63-$H$54,0)</f>
        <v>66.6651807155224</v>
      </c>
      <c r="G63" s="21" t="n">
        <f aca="false">$B$4*F63</f>
        <v>49.9988855366418</v>
      </c>
      <c r="H63" s="21" t="n">
        <f aca="false">B63-G63</f>
        <v>24.3454520592885</v>
      </c>
      <c r="I63" s="24" t="n">
        <f aca="false">G63/Assumptions!$B$7</f>
        <v>0.999977710732837</v>
      </c>
    </row>
    <row r="64" customFormat="false" ht="15" hidden="false" customHeight="false" outlineLevel="0" collapsed="false">
      <c r="A64" s="8" t="n">
        <v>9</v>
      </c>
      <c r="B64" s="16" t="n">
        <f aca="false">H63+Assumptions!$B$7</f>
        <v>74.3454520592885</v>
      </c>
      <c r="C64" s="17" t="n">
        <f aca="false">B64/Assumptions!$B$6</f>
        <v>0.0247818173530962</v>
      </c>
      <c r="D64" s="16" t="n">
        <f aca="false">(C64*(Assumptions!$B$10/Assumptions!$B$9))*760/(1+(C64*(Assumptions!$B$10/Assumptions!$B$9)))</f>
        <v>28.2010820840063</v>
      </c>
      <c r="E64" s="18" t="n">
        <f aca="false">1730.63/(8.07131-LOG10(D64))-233.426</f>
        <v>27.9572411586856</v>
      </c>
      <c r="F64" s="16" t="n">
        <f aca="false">MAX(B64-$H$54,0)</f>
        <v>66.6662951788806</v>
      </c>
      <c r="G64" s="16" t="n">
        <f aca="false">$B$4*F64</f>
        <v>49.9997213841605</v>
      </c>
      <c r="H64" s="16" t="n">
        <f aca="false">B64-G64</f>
        <v>24.345730675128</v>
      </c>
      <c r="I64" s="19" t="n">
        <f aca="false">G64/Assumptions!$B$7</f>
        <v>0.999994427683209</v>
      </c>
    </row>
    <row r="65" customFormat="false" ht="15" hidden="false" customHeight="false" outlineLevel="0" collapsed="false">
      <c r="A65" s="20" t="n">
        <v>10</v>
      </c>
      <c r="B65" s="21" t="n">
        <f aca="false">H64+Assumptions!$B$7</f>
        <v>74.345730675128</v>
      </c>
      <c r="C65" s="22" t="n">
        <f aca="false">B65/Assumptions!$B$6</f>
        <v>0.0247819102250427</v>
      </c>
      <c r="D65" s="21" t="n">
        <f aca="false">(C65*(Assumptions!$B$10/Assumptions!$B$9))*760/(1+(C65*(Assumptions!$B$10/Assumptions!$B$9)))</f>
        <v>28.2011838482664</v>
      </c>
      <c r="E65" s="23" t="n">
        <f aca="false">1730.63/(8.07131-LOG10(D65))-233.426</f>
        <v>27.9573030264449</v>
      </c>
      <c r="F65" s="21" t="n">
        <f aca="false">MAX(B65-$H$54,0)</f>
        <v>66.6665737947202</v>
      </c>
      <c r="G65" s="21" t="n">
        <f aca="false">$B$4*F65</f>
        <v>49.9999303460401</v>
      </c>
      <c r="H65" s="21" t="n">
        <f aca="false">B65-G65</f>
        <v>24.3458003290879</v>
      </c>
      <c r="I65" s="24" t="n">
        <f aca="false">G65/Assumptions!$B$7</f>
        <v>0.999998606920802</v>
      </c>
    </row>
    <row r="66" customFormat="false" ht="15" hidden="false" customHeight="false" outlineLevel="0" collapsed="false">
      <c r="A66" s="8" t="n">
        <v>11</v>
      </c>
      <c r="B66" s="16" t="n">
        <f aca="false">H65+Assumptions!$B$7</f>
        <v>74.3458003290879</v>
      </c>
      <c r="C66" s="17" t="n">
        <f aca="false">B66/Assumptions!$B$6</f>
        <v>0.0247819334430293</v>
      </c>
      <c r="D66" s="16" t="n">
        <f aca="false">(C66*(Assumptions!$B$10/Assumptions!$B$9))*760/(1+(C66*(Assumptions!$B$10/Assumptions!$B$9)))</f>
        <v>28.201209289327</v>
      </c>
      <c r="E66" s="18" t="n">
        <f aca="false">1730.63/(8.07131-LOG10(D66))-233.426</f>
        <v>27.9573184933518</v>
      </c>
      <c r="F66" s="16" t="n">
        <f aca="false">MAX(B66-$H$54,0)</f>
        <v>66.66664344868</v>
      </c>
      <c r="G66" s="16" t="n">
        <f aca="false">$B$4*F66</f>
        <v>49.99998258651</v>
      </c>
      <c r="H66" s="16" t="n">
        <f aca="false">B66-G66</f>
        <v>24.3458177425779</v>
      </c>
      <c r="I66" s="19" t="n">
        <f aca="false">G66/Assumptions!$B$7</f>
        <v>0.999999651730201</v>
      </c>
    </row>
    <row r="67" customFormat="false" ht="15" hidden="false" customHeight="false" outlineLevel="0" collapsed="false">
      <c r="A67" s="20" t="n">
        <v>12</v>
      </c>
      <c r="B67" s="21" t="n">
        <f aca="false">H66+Assumptions!$B$7</f>
        <v>74.3458177425779</v>
      </c>
      <c r="C67" s="22" t="n">
        <f aca="false">B67/Assumptions!$B$6</f>
        <v>0.024781939247526</v>
      </c>
      <c r="D67" s="21" t="n">
        <f aca="false">(C67*(Assumptions!$B$10/Assumptions!$B$9))*760/(1+(C67*(Assumptions!$B$10/Assumptions!$B$9)))</f>
        <v>28.2012156495919</v>
      </c>
      <c r="E67" s="23" t="n">
        <f aca="false">1730.63/(8.07131-LOG10(D67))-233.426</f>
        <v>27.9573223600764</v>
      </c>
      <c r="F67" s="21" t="n">
        <f aca="false">MAX(B67-$H$54,0)</f>
        <v>66.66666086217</v>
      </c>
      <c r="G67" s="21" t="n">
        <f aca="false">$B$4*F67</f>
        <v>49.9999956466275</v>
      </c>
      <c r="H67" s="21" t="n">
        <f aca="false">B67-G67</f>
        <v>24.3458220959504</v>
      </c>
      <c r="I67" s="24" t="n">
        <f aca="false">G67/Assumptions!$B$7</f>
        <v>0.99999991293255</v>
      </c>
    </row>
    <row r="70" customFormat="false" ht="15" hidden="false" customHeight="false" outlineLevel="0" collapsed="false">
      <c r="A70" s="4" t="s">
        <v>56</v>
      </c>
      <c r="B70" s="4"/>
      <c r="C70" s="4"/>
      <c r="D70" s="4"/>
      <c r="E70" s="13" t="s">
        <v>42</v>
      </c>
      <c r="F70" s="14" t="n">
        <f aca="false">IF(-10&gt;=0,10^(8.07131-1730.63/(233.426+-10)),6.1115*EXP(22.452*-10/(272.55+-10))*0.750062)</f>
        <v>1.94920468064447</v>
      </c>
      <c r="G70" s="13" t="s">
        <v>43</v>
      </c>
      <c r="H70" s="15" t="n">
        <f aca="false">(($F$70)/(760-$F$70))*(Assumptions!$B$9/Assumptions!$B$10)*Assumptions!$B$6</f>
        <v>4.96066083260196</v>
      </c>
    </row>
    <row r="71" customFormat="false" ht="39.75" hidden="false" customHeight="true" outlineLevel="0" collapsed="false">
      <c r="A71" s="5" t="s">
        <v>44</v>
      </c>
      <c r="B71" s="5" t="s">
        <v>45</v>
      </c>
      <c r="C71" s="5" t="s">
        <v>46</v>
      </c>
      <c r="D71" s="5" t="s">
        <v>47</v>
      </c>
      <c r="E71" s="5" t="s">
        <v>48</v>
      </c>
      <c r="F71" s="5" t="s">
        <v>49</v>
      </c>
      <c r="G71" s="5" t="s">
        <v>50</v>
      </c>
      <c r="H71" s="5" t="s">
        <v>51</v>
      </c>
      <c r="I71" s="5" t="s">
        <v>52</v>
      </c>
    </row>
    <row r="72" customFormat="false" ht="15" hidden="false" customHeight="false" outlineLevel="0" collapsed="false">
      <c r="A72" s="8" t="n">
        <v>1</v>
      </c>
      <c r="B72" s="16" t="n">
        <f aca="false">Assumptions!$B$7</f>
        <v>50</v>
      </c>
      <c r="C72" s="17" t="n">
        <f aca="false">B72/Assumptions!$B$6</f>
        <v>0.0166666666666667</v>
      </c>
      <c r="D72" s="16" t="n">
        <f aca="false">(C72*(Assumptions!$B$10/Assumptions!$B$9))*760/(1+(C72*(Assumptions!$B$10/Assumptions!$B$9)))</f>
        <v>19.1995411727149</v>
      </c>
      <c r="E72" s="18" t="n">
        <f aca="false">1730.63/(8.07131-LOG10(D72))-233.426</f>
        <v>21.5276119140316</v>
      </c>
      <c r="F72" s="16" t="n">
        <f aca="false">MAX(B72-$H$70,0)</f>
        <v>45.0393391673981</v>
      </c>
      <c r="G72" s="16" t="n">
        <f aca="false">$B$4*F72</f>
        <v>33.7795043755485</v>
      </c>
      <c r="H72" s="16" t="n">
        <f aca="false">B72-G72</f>
        <v>16.2204956244515</v>
      </c>
      <c r="I72" s="19" t="n">
        <f aca="false">G72/Assumptions!$B$7</f>
        <v>0.675590087510971</v>
      </c>
    </row>
    <row r="73" customFormat="false" ht="15" hidden="false" customHeight="false" outlineLevel="0" collapsed="false">
      <c r="A73" s="20" t="n">
        <v>2</v>
      </c>
      <c r="B73" s="21" t="n">
        <f aca="false">H72+Assumptions!$B$7</f>
        <v>66.2204956244515</v>
      </c>
      <c r="C73" s="22" t="n">
        <f aca="false">B73/Assumptions!$B$6</f>
        <v>0.0220734985414838</v>
      </c>
      <c r="D73" s="21" t="n">
        <f aca="false">(C73*(Assumptions!$B$10/Assumptions!$B$9))*760/(1+(C73*(Assumptions!$B$10/Assumptions!$B$9)))</f>
        <v>25.2213629070019</v>
      </c>
      <c r="E73" s="23" t="n">
        <f aca="false">1730.63/(8.07131-LOG10(D73))-233.426</f>
        <v>26.0566066054105</v>
      </c>
      <c r="F73" s="21" t="n">
        <f aca="false">MAX(B73-$H$70,0)</f>
        <v>61.2598347918495</v>
      </c>
      <c r="G73" s="21" t="n">
        <f aca="false">$B$4*F73</f>
        <v>45.9448760938871</v>
      </c>
      <c r="H73" s="21" t="n">
        <f aca="false">B73-G73</f>
        <v>20.2756195305643</v>
      </c>
      <c r="I73" s="24" t="n">
        <f aca="false">G73/Assumptions!$B$7</f>
        <v>0.918897521877743</v>
      </c>
    </row>
    <row r="74" customFormat="false" ht="15" hidden="false" customHeight="false" outlineLevel="0" collapsed="false">
      <c r="A74" s="8" t="n">
        <v>3</v>
      </c>
      <c r="B74" s="16" t="n">
        <f aca="false">H73+Assumptions!$B$7</f>
        <v>70.2756195305643</v>
      </c>
      <c r="C74" s="17" t="n">
        <f aca="false">B74/Assumptions!$B$6</f>
        <v>0.0234252065101881</v>
      </c>
      <c r="D74" s="16" t="n">
        <f aca="false">(C74*(Assumptions!$B$10/Assumptions!$B$9))*760/(1+(C74*(Assumptions!$B$10/Assumptions!$B$9)))</f>
        <v>26.7115524237938</v>
      </c>
      <c r="E74" s="18" t="n">
        <f aca="false">1730.63/(8.07131-LOG10(D74))-233.426</f>
        <v>27.030185264671</v>
      </c>
      <c r="F74" s="16" t="n">
        <f aca="false">MAX(B74-$H$70,0)</f>
        <v>65.3149586979624</v>
      </c>
      <c r="G74" s="16" t="n">
        <f aca="false">$B$4*F74</f>
        <v>48.9862190234718</v>
      </c>
      <c r="H74" s="16" t="n">
        <f aca="false">B74-G74</f>
        <v>21.2894005070926</v>
      </c>
      <c r="I74" s="19" t="n">
        <f aca="false">G74/Assumptions!$B$7</f>
        <v>0.979724380469436</v>
      </c>
    </row>
    <row r="75" customFormat="false" ht="15" hidden="false" customHeight="false" outlineLevel="0" collapsed="false">
      <c r="A75" s="20" t="n">
        <v>4</v>
      </c>
      <c r="B75" s="21" t="n">
        <f aca="false">H74+Assumptions!$B$7</f>
        <v>71.2894005070926</v>
      </c>
      <c r="C75" s="22" t="n">
        <f aca="false">B75/Assumptions!$B$6</f>
        <v>0.0237631335023642</v>
      </c>
      <c r="D75" s="21" t="n">
        <f aca="false">(C75*(Assumptions!$B$10/Assumptions!$B$9))*760/(1+(C75*(Assumptions!$B$10/Assumptions!$B$9)))</f>
        <v>27.0831558369567</v>
      </c>
      <c r="E75" s="23" t="n">
        <f aca="false">1730.63/(8.07131-LOG10(D75))-233.426</f>
        <v>27.2655919674804</v>
      </c>
      <c r="F75" s="21" t="n">
        <f aca="false">MAX(B75-$H$70,0)</f>
        <v>66.3287396744906</v>
      </c>
      <c r="G75" s="21" t="n">
        <f aca="false">$B$4*F75</f>
        <v>49.746554755868</v>
      </c>
      <c r="H75" s="21" t="n">
        <f aca="false">B75-G75</f>
        <v>21.5428457512246</v>
      </c>
      <c r="I75" s="24" t="n">
        <f aca="false">G75/Assumptions!$B$7</f>
        <v>0.994931095117359</v>
      </c>
    </row>
    <row r="76" customFormat="false" ht="15" hidden="false" customHeight="false" outlineLevel="0" collapsed="false">
      <c r="A76" s="8" t="n">
        <v>5</v>
      </c>
      <c r="B76" s="16" t="n">
        <f aca="false">H75+Assumptions!$B$7</f>
        <v>71.5428457512246</v>
      </c>
      <c r="C76" s="17" t="n">
        <f aca="false">B76/Assumptions!$B$6</f>
        <v>0.0238476152504082</v>
      </c>
      <c r="D76" s="16" t="n">
        <f aca="false">(C76*(Assumptions!$B$10/Assumptions!$B$9))*760/(1+(C76*(Assumptions!$B$10/Assumptions!$B$9)))</f>
        <v>27.1759978493146</v>
      </c>
      <c r="E76" s="18" t="n">
        <f aca="false">1730.63/(8.07131-LOG10(D76))-233.426</f>
        <v>27.3239678313419</v>
      </c>
      <c r="F76" s="16" t="n">
        <f aca="false">MAX(B76-$H$70,0)</f>
        <v>66.5821849186226</v>
      </c>
      <c r="G76" s="16" t="n">
        <f aca="false">$B$4*F76</f>
        <v>49.936638688967</v>
      </c>
      <c r="H76" s="16" t="n">
        <f aca="false">B76-G76</f>
        <v>21.6062070622576</v>
      </c>
      <c r="I76" s="19" t="n">
        <f aca="false">G76/Assumptions!$B$7</f>
        <v>0.99873277377934</v>
      </c>
    </row>
    <row r="77" customFormat="false" ht="15" hidden="false" customHeight="false" outlineLevel="0" collapsed="false">
      <c r="A77" s="20" t="n">
        <v>6</v>
      </c>
      <c r="B77" s="21" t="n">
        <f aca="false">H76+Assumptions!$B$7</f>
        <v>71.6062070622576</v>
      </c>
      <c r="C77" s="22" t="n">
        <f aca="false">B77/Assumptions!$B$6</f>
        <v>0.0238687356874192</v>
      </c>
      <c r="D77" s="21" t="n">
        <f aca="false">(C77*(Assumptions!$B$10/Assumptions!$B$9))*760/(1+(C77*(Assumptions!$B$10/Assumptions!$B$9)))</f>
        <v>27.1992046772914</v>
      </c>
      <c r="E77" s="23" t="n">
        <f aca="false">1730.63/(8.07131-LOG10(D77))-233.426</f>
        <v>27.3385324053101</v>
      </c>
      <c r="F77" s="21" t="n">
        <f aca="false">MAX(B77-$H$70,0)</f>
        <v>66.6455462296557</v>
      </c>
      <c r="G77" s="21" t="n">
        <f aca="false">$B$4*F77</f>
        <v>49.9841596722417</v>
      </c>
      <c r="H77" s="21" t="n">
        <f aca="false">B77-G77</f>
        <v>21.6220473900159</v>
      </c>
      <c r="I77" s="24" t="n">
        <f aca="false">G77/Assumptions!$B$7</f>
        <v>0.999683193444835</v>
      </c>
    </row>
    <row r="78" customFormat="false" ht="15" hidden="false" customHeight="false" outlineLevel="0" collapsed="false">
      <c r="A78" s="8" t="n">
        <v>7</v>
      </c>
      <c r="B78" s="16" t="n">
        <f aca="false">H77+Assumptions!$B$7</f>
        <v>71.6220473900159</v>
      </c>
      <c r="C78" s="17" t="n">
        <f aca="false">B78/Assumptions!$B$6</f>
        <v>0.023874015796672</v>
      </c>
      <c r="D78" s="16" t="n">
        <f aca="false">(C78*(Assumptions!$B$10/Assumptions!$B$9))*760/(1+(C78*(Assumptions!$B$10/Assumptions!$B$9)))</f>
        <v>27.2050061546292</v>
      </c>
      <c r="E78" s="18" t="n">
        <f aca="false">1730.63/(8.07131-LOG10(D78))-233.426</f>
        <v>27.342171717139</v>
      </c>
      <c r="F78" s="16" t="n">
        <f aca="false">MAX(B78-$H$70,0)</f>
        <v>66.6613865574139</v>
      </c>
      <c r="G78" s="16" t="n">
        <f aca="false">$B$4*F78</f>
        <v>49.9960399180604</v>
      </c>
      <c r="H78" s="16" t="n">
        <f aca="false">B78-G78</f>
        <v>21.6260074719554</v>
      </c>
      <c r="I78" s="19" t="n">
        <f aca="false">G78/Assumptions!$B$7</f>
        <v>0.999920798361209</v>
      </c>
    </row>
    <row r="79" customFormat="false" ht="15" hidden="false" customHeight="false" outlineLevel="0" collapsed="false">
      <c r="A79" s="20" t="n">
        <v>8</v>
      </c>
      <c r="B79" s="21" t="n">
        <f aca="false">H78+Assumptions!$B$7</f>
        <v>71.6260074719554</v>
      </c>
      <c r="C79" s="22" t="n">
        <f aca="false">B79/Assumptions!$B$6</f>
        <v>0.0238753358239851</v>
      </c>
      <c r="D79" s="21" t="n">
        <f aca="false">(C79*(Assumptions!$B$10/Assumptions!$B$9))*760/(1+(C79*(Assumptions!$B$10/Assumptions!$B$9)))</f>
        <v>27.2064565096108</v>
      </c>
      <c r="E79" s="23" t="n">
        <f aca="false">1730.63/(8.07131-LOG10(D79))-233.426</f>
        <v>27.3430814307005</v>
      </c>
      <c r="F79" s="21" t="n">
        <f aca="false">MAX(B79-$H$70,0)</f>
        <v>66.6653466393535</v>
      </c>
      <c r="G79" s="21" t="n">
        <f aca="false">$B$4*F79</f>
        <v>49.9990099795151</v>
      </c>
      <c r="H79" s="21" t="n">
        <f aca="false">B79-G79</f>
        <v>21.6269974924403</v>
      </c>
      <c r="I79" s="24" t="n">
        <f aca="false">G79/Assumptions!$B$7</f>
        <v>0.999980199590302</v>
      </c>
    </row>
    <row r="80" customFormat="false" ht="15" hidden="false" customHeight="false" outlineLevel="0" collapsed="false">
      <c r="A80" s="8" t="n">
        <v>9</v>
      </c>
      <c r="B80" s="16" t="n">
        <f aca="false">H79+Assumptions!$B$7</f>
        <v>71.6269974924403</v>
      </c>
      <c r="C80" s="17" t="n">
        <f aca="false">B80/Assumptions!$B$6</f>
        <v>0.0238756658308134</v>
      </c>
      <c r="D80" s="16" t="n">
        <f aca="false">(C80*(Assumptions!$B$10/Assumptions!$B$9))*760/(1+(C80*(Assumptions!$B$10/Assumptions!$B$9)))</f>
        <v>27.2068190974591</v>
      </c>
      <c r="E80" s="18" t="n">
        <f aca="false">1730.63/(8.07131-LOG10(D80))-233.426</f>
        <v>27.3433088519423</v>
      </c>
      <c r="F80" s="16" t="n">
        <f aca="false">MAX(B80-$H$70,0)</f>
        <v>66.6663366598384</v>
      </c>
      <c r="G80" s="16" t="n">
        <f aca="false">$B$4*F80</f>
        <v>49.9997524948788</v>
      </c>
      <c r="H80" s="16" t="n">
        <f aca="false">B80-G80</f>
        <v>21.6272449975615</v>
      </c>
      <c r="I80" s="19" t="n">
        <f aca="false">G80/Assumptions!$B$7</f>
        <v>0.999995049897576</v>
      </c>
    </row>
    <row r="81" customFormat="false" ht="15" hidden="false" customHeight="false" outlineLevel="0" collapsed="false">
      <c r="A81" s="20" t="n">
        <v>10</v>
      </c>
      <c r="B81" s="21" t="n">
        <f aca="false">H80+Assumptions!$B$7</f>
        <v>71.6272449975616</v>
      </c>
      <c r="C81" s="22" t="n">
        <f aca="false">B81/Assumptions!$B$6</f>
        <v>0.0238757483325205</v>
      </c>
      <c r="D81" s="21" t="n">
        <f aca="false">(C81*(Assumptions!$B$10/Assumptions!$B$9))*760/(1+(C81*(Assumptions!$B$10/Assumptions!$B$9)))</f>
        <v>27.2069097443651</v>
      </c>
      <c r="E81" s="23" t="n">
        <f aca="false">1730.63/(8.07131-LOG10(D81))-233.426</f>
        <v>27.3433657068061</v>
      </c>
      <c r="F81" s="21" t="n">
        <f aca="false">MAX(B81-$H$70,0)</f>
        <v>66.6665841649596</v>
      </c>
      <c r="G81" s="21" t="n">
        <f aca="false">$B$4*F81</f>
        <v>49.9999381237197</v>
      </c>
      <c r="H81" s="21" t="n">
        <f aca="false">B81-G81</f>
        <v>21.6273068738419</v>
      </c>
      <c r="I81" s="24" t="n">
        <f aca="false">G81/Assumptions!$B$7</f>
        <v>0.999998762474394</v>
      </c>
    </row>
    <row r="82" customFormat="false" ht="15" hidden="false" customHeight="false" outlineLevel="0" collapsed="false">
      <c r="A82" s="8" t="n">
        <v>11</v>
      </c>
      <c r="B82" s="16" t="n">
        <f aca="false">H81+Assumptions!$B$7</f>
        <v>71.6273068738419</v>
      </c>
      <c r="C82" s="17" t="n">
        <f aca="false">B82/Assumptions!$B$6</f>
        <v>0.0238757689579473</v>
      </c>
      <c r="D82" s="16" t="n">
        <f aca="false">(C82*(Assumptions!$B$10/Assumptions!$B$9))*760/(1+(C82*(Assumptions!$B$10/Assumptions!$B$9)))</f>
        <v>27.2069324060881</v>
      </c>
      <c r="E82" s="18" t="n">
        <f aca="false">1730.63/(8.07131-LOG10(D82))-233.426</f>
        <v>27.343379920494</v>
      </c>
      <c r="F82" s="16" t="n">
        <f aca="false">MAX(B82-$H$70,0)</f>
        <v>66.6666460412399</v>
      </c>
      <c r="G82" s="16" t="n">
        <f aca="false">$B$4*F82</f>
        <v>49.9999845309299</v>
      </c>
      <c r="H82" s="16" t="n">
        <f aca="false">B82-G82</f>
        <v>21.6273223429119</v>
      </c>
      <c r="I82" s="19" t="n">
        <f aca="false">G82/Assumptions!$B$7</f>
        <v>0.999999690618598</v>
      </c>
    </row>
    <row r="83" customFormat="false" ht="15" hidden="false" customHeight="false" outlineLevel="0" collapsed="false">
      <c r="A83" s="20" t="n">
        <v>12</v>
      </c>
      <c r="B83" s="21" t="n">
        <f aca="false">H82+Assumptions!$B$7</f>
        <v>71.6273223429119</v>
      </c>
      <c r="C83" s="22" t="n">
        <f aca="false">B83/Assumptions!$B$6</f>
        <v>0.023875774114304</v>
      </c>
      <c r="D83" s="21" t="n">
        <f aca="false">(C83*(Assumptions!$B$10/Assumptions!$B$9))*760/(1+(C83*(Assumptions!$B$10/Assumptions!$B$9)))</f>
        <v>27.2069380715186</v>
      </c>
      <c r="E83" s="23" t="n">
        <f aca="false">1730.63/(8.07131-LOG10(D83))-233.426</f>
        <v>27.3433834739143</v>
      </c>
      <c r="F83" s="21" t="n">
        <f aca="false">MAX(B83-$H$70,0)</f>
        <v>66.66666151031</v>
      </c>
      <c r="G83" s="21" t="n">
        <f aca="false">$B$4*F83</f>
        <v>49.9999961327325</v>
      </c>
      <c r="H83" s="21" t="n">
        <f aca="false">B83-G83</f>
        <v>21.6273262101795</v>
      </c>
      <c r="I83" s="24" t="n">
        <f aca="false">G83/Assumptions!$B$7</f>
        <v>0.99999992265465</v>
      </c>
    </row>
  </sheetData>
  <mergeCells count="7">
    <mergeCell ref="A1:I1"/>
    <mergeCell ref="A2:I2"/>
    <mergeCell ref="A6:D6"/>
    <mergeCell ref="A22:D22"/>
    <mergeCell ref="A38:D38"/>
    <mergeCell ref="A54:D54"/>
    <mergeCell ref="A70:D70"/>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6"/>
    <col collapsed="false" customWidth="true" hidden="false" outlineLevel="0" max="3" min="3" style="1" width="18"/>
    <col collapsed="false" customWidth="true" hidden="false" outlineLevel="0" max="4" min="4" style="1" width="20"/>
    <col collapsed="false" customWidth="true" hidden="false" outlineLevel="0" max="6" min="5" style="1" width="18"/>
  </cols>
  <sheetData>
    <row r="1" customFormat="false" ht="19.7" hidden="false" customHeight="false" outlineLevel="0" collapsed="false">
      <c r="A1" s="2" t="s">
        <v>57</v>
      </c>
      <c r="B1" s="2"/>
      <c r="C1" s="2"/>
      <c r="D1" s="2"/>
      <c r="E1" s="2"/>
      <c r="F1" s="2"/>
    </row>
    <row r="2" customFormat="false" ht="15" hidden="false" customHeight="false" outlineLevel="0" collapsed="false">
      <c r="A2" s="3" t="s">
        <v>58</v>
      </c>
      <c r="B2" s="3"/>
      <c r="C2" s="3"/>
      <c r="D2" s="3"/>
      <c r="E2" s="3"/>
      <c r="F2" s="3"/>
    </row>
    <row r="4" customFormat="false" ht="33.75" hidden="false" customHeight="true" outlineLevel="0" collapsed="false">
      <c r="A4" s="5" t="s">
        <v>59</v>
      </c>
      <c r="B4" s="5" t="s">
        <v>60</v>
      </c>
      <c r="C4" s="5" t="s">
        <v>61</v>
      </c>
      <c r="D4" s="5" t="s">
        <v>62</v>
      </c>
      <c r="E4" s="5" t="s">
        <v>63</v>
      </c>
      <c r="F4" s="5" t="s">
        <v>52</v>
      </c>
    </row>
    <row r="5" customFormat="false" ht="15" hidden="false" customHeight="false" outlineLevel="0" collapsed="false">
      <c r="A5" s="25" t="n">
        <v>10</v>
      </c>
      <c r="B5" s="16" t="n">
        <f aca="false">'Hour-by-Hour Balance'!H$6</f>
        <v>23.532695286071</v>
      </c>
      <c r="C5" s="18" t="n">
        <f aca="false">'Hour-by-Hour Balance'!E19</f>
        <v>31.1753581732324</v>
      </c>
      <c r="D5" s="16" t="n">
        <f aca="false">'Hour-by-Hour Balance'!H19</f>
        <v>40.199359556669</v>
      </c>
      <c r="E5" s="16" t="n">
        <f aca="false">'Hour-by-Hour Balance'!G19</f>
        <v>49.9999928117939</v>
      </c>
      <c r="F5" s="19" t="n">
        <f aca="false">'Hour-by-Hour Balance'!I19</f>
        <v>0.999999856235879</v>
      </c>
    </row>
    <row r="6" customFormat="false" ht="15" hidden="false" customHeight="false" outlineLevel="0" collapsed="false">
      <c r="A6" s="25" t="n">
        <v>5</v>
      </c>
      <c r="B6" s="16" t="n">
        <f aca="false">'Hour-by-Hour Balance'!H$22</f>
        <v>16.635785249839</v>
      </c>
      <c r="C6" s="18" t="n">
        <f aca="false">'Hour-by-Hour Balance'!E35</f>
        <v>29.8446229587028</v>
      </c>
      <c r="D6" s="16" t="n">
        <f aca="false">'Hour-by-Hour Balance'!H35</f>
        <v>33.3024499315248</v>
      </c>
      <c r="E6" s="16" t="n">
        <f aca="false">'Hour-by-Hour Balance'!G35</f>
        <v>49.9999940450576</v>
      </c>
      <c r="F6" s="19" t="n">
        <f aca="false">'Hour-by-Hour Balance'!I35</f>
        <v>0.999999880901151</v>
      </c>
    </row>
    <row r="7" customFormat="false" ht="15" hidden="false" customHeight="false" outlineLevel="0" collapsed="false">
      <c r="A7" s="25" t="n">
        <v>0</v>
      </c>
      <c r="B7" s="16" t="n">
        <f aca="false">'Hour-by-Hour Balance'!H$38</f>
        <v>11.5994907085499</v>
      </c>
      <c r="C7" s="18" t="n">
        <f aca="false">'Hour-by-Hour Balance'!E51</f>
        <v>28.8076051543013</v>
      </c>
      <c r="D7" s="16" t="n">
        <f aca="false">'Hour-by-Hour Balance'!H51</f>
        <v>28.2661556904223</v>
      </c>
      <c r="E7" s="16" t="n">
        <f aca="false">'Hour-by-Hour Balance'!G51</f>
        <v>49.9999949456172</v>
      </c>
      <c r="F7" s="19" t="n">
        <f aca="false">'Hour-by-Hour Balance'!I51</f>
        <v>0.999999898912344</v>
      </c>
    </row>
    <row r="8" customFormat="false" ht="15" hidden="false" customHeight="false" outlineLevel="0" collapsed="false">
      <c r="A8" s="25" t="n">
        <v>-5</v>
      </c>
      <c r="B8" s="16" t="n">
        <f aca="false">'Hour-by-Hour Balance'!H$54</f>
        <v>7.67915688040787</v>
      </c>
      <c r="C8" s="18" t="n">
        <f aca="false">'Hour-by-Hour Balance'!E67</f>
        <v>27.9573223600764</v>
      </c>
      <c r="D8" s="16" t="n">
        <f aca="false">'Hour-by-Hour Balance'!H67</f>
        <v>24.3458220959504</v>
      </c>
      <c r="E8" s="16" t="n">
        <f aca="false">'Hour-by-Hour Balance'!G67</f>
        <v>49.9999956466275</v>
      </c>
      <c r="F8" s="19" t="n">
        <f aca="false">'Hour-by-Hour Balance'!I67</f>
        <v>0.99999991293255</v>
      </c>
    </row>
    <row r="9" customFormat="false" ht="15" hidden="false" customHeight="false" outlineLevel="0" collapsed="false">
      <c r="A9" s="25" t="n">
        <v>-10</v>
      </c>
      <c r="B9" s="16" t="n">
        <f aca="false">'Hour-by-Hour Balance'!H$70</f>
        <v>4.96066083260196</v>
      </c>
      <c r="C9" s="18" t="n">
        <f aca="false">'Hour-by-Hour Balance'!E83</f>
        <v>27.3433834739143</v>
      </c>
      <c r="D9" s="16" t="n">
        <f aca="false">'Hour-by-Hour Balance'!H83</f>
        <v>21.6273262101795</v>
      </c>
      <c r="E9" s="16" t="n">
        <f aca="false">'Hour-by-Hour Balance'!G83</f>
        <v>49.9999961327325</v>
      </c>
      <c r="F9" s="19" t="n">
        <f aca="false">'Hour-by-Hour Balance'!I83</f>
        <v>0.99999992265465</v>
      </c>
    </row>
    <row r="11" customFormat="false" ht="90" hidden="false" customHeight="true" outlineLevel="0" collapsed="false">
      <c r="A11" s="26" t="s">
        <v>64</v>
      </c>
      <c r="B11" s="26"/>
      <c r="C11" s="26"/>
      <c r="D11" s="26"/>
      <c r="E11" s="26"/>
      <c r="F11" s="26"/>
    </row>
  </sheetData>
  <mergeCells count="3">
    <mergeCell ref="A1:F1"/>
    <mergeCell ref="A2:F2"/>
    <mergeCell ref="A11:F11"/>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2"/>
    <col collapsed="false" customWidth="true" hidden="false" outlineLevel="0" max="3" min="3" style="1" width="50"/>
  </cols>
  <sheetData>
    <row r="1" customFormat="false" ht="19.7" hidden="false" customHeight="false" outlineLevel="0" collapsed="false">
      <c r="A1" s="2" t="s">
        <v>65</v>
      </c>
      <c r="B1" s="2"/>
      <c r="C1" s="2"/>
    </row>
    <row r="2" customFormat="false" ht="15" hidden="false" customHeight="false" outlineLevel="0" collapsed="false">
      <c r="A2" s="3" t="s">
        <v>66</v>
      </c>
      <c r="B2" s="3"/>
      <c r="C2" s="3"/>
    </row>
    <row r="4" customFormat="false" ht="15" hidden="false" customHeight="false" outlineLevel="0" collapsed="false">
      <c r="A4" s="4" t="s">
        <v>67</v>
      </c>
      <c r="B4" s="4"/>
      <c r="C4" s="4"/>
    </row>
    <row r="5" customFormat="false" ht="15" hidden="false" customHeight="false" outlineLevel="0" collapsed="false">
      <c r="A5" s="5" t="s">
        <v>68</v>
      </c>
      <c r="B5" s="5" t="s">
        <v>69</v>
      </c>
      <c r="C5" s="5" t="s">
        <v>70</v>
      </c>
    </row>
    <row r="6" customFormat="false" ht="30" hidden="false" customHeight="true" outlineLevel="0" collapsed="false">
      <c r="A6" s="6" t="s">
        <v>71</v>
      </c>
      <c r="B6" s="25" t="s">
        <v>72</v>
      </c>
      <c r="C6" s="9" t="s">
        <v>73</v>
      </c>
    </row>
    <row r="7" customFormat="false" ht="30" hidden="false" customHeight="true" outlineLevel="0" collapsed="false">
      <c r="A7" s="6" t="s">
        <v>74</v>
      </c>
      <c r="B7" s="25" t="s">
        <v>75</v>
      </c>
      <c r="C7" s="9" t="s">
        <v>76</v>
      </c>
    </row>
    <row r="8" customFormat="false" ht="30" hidden="false" customHeight="true" outlineLevel="0" collapsed="false">
      <c r="A8" s="6" t="s">
        <v>77</v>
      </c>
      <c r="B8" s="25" t="s">
        <v>78</v>
      </c>
      <c r="C8" s="9" t="s">
        <v>79</v>
      </c>
    </row>
    <row r="9" customFormat="false" ht="30" hidden="false" customHeight="true" outlineLevel="0" collapsed="false">
      <c r="A9" s="6" t="s">
        <v>80</v>
      </c>
      <c r="B9" s="25" t="s">
        <v>81</v>
      </c>
      <c r="C9" s="9" t="s">
        <v>82</v>
      </c>
    </row>
    <row r="10" customFormat="false" ht="30" hidden="false" customHeight="true" outlineLevel="0" collapsed="false">
      <c r="A10" s="6" t="s">
        <v>83</v>
      </c>
      <c r="B10" s="25" t="s">
        <v>84</v>
      </c>
      <c r="C10" s="9" t="s">
        <v>85</v>
      </c>
    </row>
    <row r="11" customFormat="false" ht="30" hidden="false" customHeight="true" outlineLevel="0" collapsed="false">
      <c r="A11" s="6" t="s">
        <v>86</v>
      </c>
      <c r="B11" s="25" t="s">
        <v>87</v>
      </c>
      <c r="C11" s="9" t="s">
        <v>88</v>
      </c>
    </row>
    <row r="12" customFormat="false" ht="30" hidden="false" customHeight="true" outlineLevel="0" collapsed="false">
      <c r="A12" s="6" t="s">
        <v>89</v>
      </c>
      <c r="B12" s="25" t="s">
        <v>90</v>
      </c>
      <c r="C12" s="9" t="s">
        <v>91</v>
      </c>
    </row>
    <row r="13" customFormat="false" ht="30" hidden="false" customHeight="true" outlineLevel="0" collapsed="false">
      <c r="A13" s="6" t="s">
        <v>92</v>
      </c>
      <c r="B13" s="25" t="s">
        <v>93</v>
      </c>
      <c r="C13" s="9" t="s">
        <v>94</v>
      </c>
    </row>
    <row r="14" customFormat="false" ht="30" hidden="false" customHeight="true" outlineLevel="0" collapsed="false">
      <c r="A14" s="6" t="s">
        <v>95</v>
      </c>
      <c r="B14" s="25" t="s">
        <v>96</v>
      </c>
      <c r="C14" s="9" t="s">
        <v>97</v>
      </c>
    </row>
    <row r="15" customFormat="false" ht="30" hidden="false" customHeight="true" outlineLevel="0" collapsed="false">
      <c r="A15" s="6" t="s">
        <v>98</v>
      </c>
      <c r="B15" s="25" t="s">
        <v>99</v>
      </c>
      <c r="C15" s="9" t="s">
        <v>100</v>
      </c>
    </row>
    <row r="16" customFormat="false" ht="30" hidden="false" customHeight="true" outlineLevel="0" collapsed="false">
      <c r="A16" s="6" t="s">
        <v>101</v>
      </c>
      <c r="B16" s="25" t="s">
        <v>102</v>
      </c>
      <c r="C16" s="9" t="s">
        <v>103</v>
      </c>
    </row>
    <row r="18" customFormat="false" ht="15" hidden="false" customHeight="false" outlineLevel="0" collapsed="false">
      <c r="A18" s="4" t="s">
        <v>104</v>
      </c>
      <c r="B18" s="4"/>
      <c r="C18" s="4"/>
    </row>
    <row r="19" customFormat="false" ht="15" hidden="false" customHeight="false" outlineLevel="0" collapsed="false">
      <c r="A19" s="5" t="s">
        <v>68</v>
      </c>
      <c r="B19" s="5" t="s">
        <v>69</v>
      </c>
      <c r="C19" s="5" t="s">
        <v>70</v>
      </c>
    </row>
    <row r="20" customFormat="false" ht="30" hidden="false" customHeight="true" outlineLevel="0" collapsed="false">
      <c r="A20" s="6" t="s">
        <v>71</v>
      </c>
      <c r="B20" s="25" t="s">
        <v>105</v>
      </c>
      <c r="C20" s="9" t="s">
        <v>106</v>
      </c>
    </row>
    <row r="21" customFormat="false" ht="30" hidden="false" customHeight="true" outlineLevel="0" collapsed="false">
      <c r="A21" s="6" t="s">
        <v>74</v>
      </c>
      <c r="B21" s="25" t="s">
        <v>107</v>
      </c>
      <c r="C21" s="9" t="s">
        <v>108</v>
      </c>
    </row>
    <row r="22" customFormat="false" ht="30" hidden="false" customHeight="true" outlineLevel="0" collapsed="false">
      <c r="A22" s="6" t="s">
        <v>77</v>
      </c>
      <c r="B22" s="25" t="s">
        <v>109</v>
      </c>
      <c r="C22" s="9" t="s">
        <v>110</v>
      </c>
    </row>
    <row r="23" customFormat="false" ht="30" hidden="false" customHeight="true" outlineLevel="0" collapsed="false">
      <c r="A23" s="6" t="s">
        <v>80</v>
      </c>
      <c r="B23" s="25" t="s">
        <v>111</v>
      </c>
      <c r="C23" s="9" t="s">
        <v>112</v>
      </c>
    </row>
    <row r="24" customFormat="false" ht="30" hidden="false" customHeight="true" outlineLevel="0" collapsed="false">
      <c r="A24" s="6" t="s">
        <v>83</v>
      </c>
      <c r="B24" s="25" t="s">
        <v>113</v>
      </c>
      <c r="C24" s="9" t="s">
        <v>114</v>
      </c>
    </row>
    <row r="25" customFormat="false" ht="30" hidden="false" customHeight="true" outlineLevel="0" collapsed="false">
      <c r="A25" s="6" t="s">
        <v>115</v>
      </c>
      <c r="B25" s="25" t="s">
        <v>93</v>
      </c>
      <c r="C25" s="9" t="s">
        <v>116</v>
      </c>
    </row>
    <row r="26" customFormat="false" ht="30" hidden="false" customHeight="true" outlineLevel="0" collapsed="false">
      <c r="A26" s="6" t="s">
        <v>117</v>
      </c>
      <c r="B26" s="25" t="s">
        <v>118</v>
      </c>
      <c r="C26" s="9" t="s">
        <v>119</v>
      </c>
    </row>
    <row r="27" customFormat="false" ht="30" hidden="false" customHeight="true" outlineLevel="0" collapsed="false">
      <c r="A27" s="6" t="s">
        <v>120</v>
      </c>
      <c r="B27" s="25" t="s">
        <v>121</v>
      </c>
      <c r="C27" s="9" t="s">
        <v>122</v>
      </c>
    </row>
    <row r="28" customFormat="false" ht="30" hidden="false" customHeight="true" outlineLevel="0" collapsed="false">
      <c r="A28" s="6" t="s">
        <v>123</v>
      </c>
      <c r="B28" s="25" t="s">
        <v>124</v>
      </c>
      <c r="C28" s="9" t="s">
        <v>125</v>
      </c>
    </row>
    <row r="30" customFormat="false" ht="90" hidden="false" customHeight="true" outlineLevel="0" collapsed="false">
      <c r="A30" s="27" t="s">
        <v>126</v>
      </c>
      <c r="B30" s="27"/>
      <c r="C30" s="27"/>
    </row>
  </sheetData>
  <mergeCells count="5">
    <mergeCell ref="A1:C1"/>
    <mergeCell ref="A2:C2"/>
    <mergeCell ref="A4:C4"/>
    <mergeCell ref="A18:C18"/>
    <mergeCell ref="A30:C30"/>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0"/>
    <col collapsed="false" customWidth="true" hidden="false" outlineLevel="0" max="3" min="3" style="1" width="22"/>
    <col collapsed="false" customWidth="true" hidden="false" outlineLevel="0" max="4" min="4" style="1" width="50"/>
  </cols>
  <sheetData>
    <row r="1" customFormat="false" ht="19.7" hidden="false" customHeight="false" outlineLevel="0" collapsed="false">
      <c r="A1" s="2" t="s">
        <v>127</v>
      </c>
      <c r="B1" s="2"/>
      <c r="C1" s="2"/>
      <c r="D1" s="2"/>
    </row>
    <row r="2" customFormat="false" ht="15" hidden="false" customHeight="false" outlineLevel="0" collapsed="false">
      <c r="A2" s="3" t="s">
        <v>128</v>
      </c>
      <c r="B2" s="3"/>
      <c r="C2" s="3"/>
      <c r="D2" s="3"/>
    </row>
    <row r="4" customFormat="false" ht="31.5" hidden="false" customHeight="true" outlineLevel="0" collapsed="false">
      <c r="A4" s="5" t="s">
        <v>129</v>
      </c>
      <c r="B4" s="5" t="s">
        <v>130</v>
      </c>
      <c r="C4" s="5" t="s">
        <v>131</v>
      </c>
      <c r="D4" s="5" t="s">
        <v>132</v>
      </c>
    </row>
    <row r="5" customFormat="false" ht="15" hidden="false" customHeight="false" outlineLevel="0" collapsed="false">
      <c r="A5" s="28" t="n">
        <v>0.7</v>
      </c>
      <c r="B5" s="29" t="n">
        <v>3.544</v>
      </c>
      <c r="C5" s="16" t="n">
        <v>15</v>
      </c>
      <c r="D5" s="9" t="s">
        <v>133</v>
      </c>
    </row>
    <row r="6" customFormat="false" ht="15" hidden="false" customHeight="false" outlineLevel="0" collapsed="false">
      <c r="A6" s="28" t="n">
        <v>0.8</v>
      </c>
      <c r="B6" s="29" t="n">
        <v>-1.889</v>
      </c>
      <c r="C6" s="16" t="n">
        <v>10</v>
      </c>
      <c r="D6" s="9" t="s">
        <v>134</v>
      </c>
    </row>
    <row r="7" customFormat="false" ht="15" hidden="false" customHeight="false" outlineLevel="0" collapsed="false">
      <c r="A7" s="28" t="n">
        <v>0.9</v>
      </c>
      <c r="B7" s="29" t="n">
        <v>-9.911</v>
      </c>
      <c r="C7" s="16" t="n">
        <v>5</v>
      </c>
      <c r="D7" s="9" t="s">
        <v>134</v>
      </c>
    </row>
    <row r="8" customFormat="false" ht="15" hidden="false" customHeight="false" outlineLevel="0" collapsed="false">
      <c r="A8" s="28" t="n">
        <v>0.95</v>
      </c>
      <c r="B8" s="29" t="n">
        <v>-17.485</v>
      </c>
      <c r="C8" s="16" t="n">
        <v>2.5</v>
      </c>
      <c r="D8" s="9" t="s">
        <v>134</v>
      </c>
    </row>
    <row r="9" customFormat="false" ht="15" hidden="false" customHeight="false" outlineLevel="0" collapsed="false">
      <c r="A9" s="28" t="n">
        <v>0.99</v>
      </c>
      <c r="B9" s="29" t="n">
        <v>-33.511</v>
      </c>
      <c r="C9" s="16" t="n">
        <v>0.5</v>
      </c>
      <c r="D9" s="9" t="s">
        <v>134</v>
      </c>
    </row>
    <row r="11" customFormat="false" ht="75" hidden="false" customHeight="true" outlineLevel="0" collapsed="false">
      <c r="A11" s="10" t="s">
        <v>135</v>
      </c>
      <c r="B11" s="10"/>
      <c r="C11" s="10"/>
      <c r="D11" s="10"/>
    </row>
  </sheetData>
  <mergeCells count="3">
    <mergeCell ref="A1:D1"/>
    <mergeCell ref="A2:D2"/>
    <mergeCell ref="A11:D11"/>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70"/>
  </cols>
  <sheetData>
    <row r="1" customFormat="false" ht="19.7" hidden="false" customHeight="false" outlineLevel="0" collapsed="false">
      <c r="A1" s="2" t="s">
        <v>136</v>
      </c>
      <c r="B1" s="2"/>
    </row>
    <row r="2" customFormat="false" ht="15" hidden="false" customHeight="false" outlineLevel="0" collapsed="false">
      <c r="A2" s="3" t="s">
        <v>137</v>
      </c>
      <c r="B2" s="3"/>
    </row>
    <row r="4" customFormat="false" ht="21.75" hidden="false" customHeight="true" outlineLevel="0" collapsed="false">
      <c r="A4" s="30" t="s">
        <v>138</v>
      </c>
      <c r="B4" s="30"/>
    </row>
    <row r="5" customFormat="false" ht="150" hidden="false" customHeight="true" outlineLevel="0" collapsed="false">
      <c r="A5" s="10" t="s">
        <v>139</v>
      </c>
      <c r="B5" s="10"/>
    </row>
    <row r="7" customFormat="false" ht="21.75" hidden="false" customHeight="true" outlineLevel="0" collapsed="false">
      <c r="A7" s="30" t="s">
        <v>140</v>
      </c>
      <c r="B7" s="30"/>
    </row>
    <row r="8" customFormat="false" ht="150" hidden="false" customHeight="true" outlineLevel="0" collapsed="false">
      <c r="A8" s="10" t="s">
        <v>141</v>
      </c>
      <c r="B8" s="10"/>
    </row>
    <row r="10" customFormat="false" ht="21.75" hidden="false" customHeight="true" outlineLevel="0" collapsed="false">
      <c r="A10" s="30" t="s">
        <v>142</v>
      </c>
      <c r="B10" s="30"/>
    </row>
    <row r="11" customFormat="false" ht="150" hidden="false" customHeight="true" outlineLevel="0" collapsed="false">
      <c r="A11" s="10" t="s">
        <v>143</v>
      </c>
      <c r="B11" s="10"/>
    </row>
    <row r="13" customFormat="false" ht="21.75" hidden="false" customHeight="true" outlineLevel="0" collapsed="false">
      <c r="A13" s="30" t="s">
        <v>144</v>
      </c>
      <c r="B13" s="30"/>
    </row>
    <row r="14" customFormat="false" ht="150" hidden="false" customHeight="true" outlineLevel="0" collapsed="false">
      <c r="A14" s="10" t="s">
        <v>145</v>
      </c>
      <c r="B14" s="10"/>
    </row>
  </sheetData>
  <mergeCells count="10">
    <mergeCell ref="A1:B1"/>
    <mergeCell ref="A2:B2"/>
    <mergeCell ref="A4:B4"/>
    <mergeCell ref="A5:B5"/>
    <mergeCell ref="A7:B7"/>
    <mergeCell ref="A8:B8"/>
    <mergeCell ref="A10:B10"/>
    <mergeCell ref="A11:B11"/>
    <mergeCell ref="A13:B13"/>
    <mergeCell ref="A14:B14"/>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2026-06-23T06:12:37Z</dcterms:created>
  <dc:creator>openpyxl</dc:creator>
  <dc:description/>
  <dc:language>en-US</dc:language>
  <cp:lastModifiedBy/>
  <dcterms:modified xsi:type="dcterms:W3CDTF">2026-06-23T06:18:42Z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